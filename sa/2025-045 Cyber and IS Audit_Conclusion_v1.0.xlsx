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9"/>
  <workbookPr codeName="ThisWorkbook" defaultThemeVersion="124226"/>
  <mc:AlternateContent xmlns:mc="http://schemas.openxmlformats.org/markup-compatibility/2006">
    <mc:Choice Requires="x15">
      <x15ac:absPath xmlns:x15ac="http://schemas.microsoft.com/office/spreadsheetml/2010/11/ac" url="https://deutscheboerse.sharepoint.com/sites/sp0281/internal/2025 Audits/2025-045 Cyber and Information Security (DBAG, ECAG, CBF, CBL, CFCL)/12 Reporting - Closing/"/>
    </mc:Choice>
  </mc:AlternateContent>
  <xr:revisionPtr revIDLastSave="1112" documentId="14_{C5F63B15-A9FF-497F-B928-ED333408CDB4}" xr6:coauthVersionLast="47" xr6:coauthVersionMax="47" xr10:uidLastSave="{0C43FA4C-0B85-4DE6-BCBC-5B5407CCB99E}"/>
  <workbookProtection workbookAlgorithmName="SHA-512" workbookHashValue="u0Mb2riwZjzbrHdBBOQDTkwv3AbDD0w6u2gSaXdGcAtO5HtgMThyJxMxtTnfenOgcU6ZPQ2IQGTGb8o0JK0j6Q==" workbookSaltValue="2gTh02o67LCzl0Omqo1xRA==" workbookSpinCount="100000" lockStructure="1"/>
  <bookViews>
    <workbookView xWindow="28680" yWindow="-120" windowWidth="29040" windowHeight="15720" tabRatio="819" firstSheet="1" activeTab="1" xr2:uid="{00000000-000D-0000-FFFF-FFFF00000000}"/>
  </bookViews>
  <sheets>
    <sheet name="Legend" sheetId="21" r:id="rId1"/>
    <sheet name="Audit conclusion" sheetId="19" r:id="rId2"/>
    <sheet name="Internal People &amp; Staff" sheetId="10" r:id="rId3"/>
    <sheet name="Sheet1" sheetId="23" state="hidden" r:id="rId4"/>
    <sheet name="Processes" sheetId="14" r:id="rId5"/>
    <sheet name="Internal Systems" sheetId="7" r:id="rId6"/>
    <sheet name="External" sheetId="9" r:id="rId7"/>
    <sheet name="IS Risk Assessment" sheetId="26" r:id="rId8"/>
    <sheet name="Dropdown lists" sheetId="17" r:id="rId9"/>
  </sheets>
  <externalReferences>
    <externalReference r:id="rId10"/>
  </externalReferences>
  <definedNames>
    <definedName name="_IDVTrackerBlocked72_H" hidden="1">0</definedName>
    <definedName name="_IDVTrackerBlocked72_P" hidden="1">0</definedName>
    <definedName name="_IDVTrackerEx72_H" hidden="1">0</definedName>
    <definedName name="_IDVTrackerEx72_P" hidden="1">0</definedName>
    <definedName name="_IDVTrackerFreigabeDateiID72_H" hidden="1">-1</definedName>
    <definedName name="_IDVTrackerFreigabeDateiID72_P" hidden="1">-1</definedName>
    <definedName name="_IDVTrackerFreigabeStatus72_H" hidden="1">0</definedName>
    <definedName name="_IDVTrackerFreigabeStatus72_P" hidden="1">0</definedName>
    <definedName name="_IDVTrackerFreigabeVersion72_H" hidden="1">-1</definedName>
    <definedName name="_IDVTrackerFreigabeVersion72_P" hidden="1">-1</definedName>
    <definedName name="_IDVTrackerID72_H" hidden="1">1034631</definedName>
    <definedName name="_IDVTrackerID72_P" hidden="1">3761292</definedName>
    <definedName name="_IDVTrackerMajorVersion72_H" hidden="1">1</definedName>
    <definedName name="_IDVTrackerMajorVersion72_P" hidden="1">1</definedName>
    <definedName name="_IDVTrackerMinorVersion72_H" hidden="1">0</definedName>
    <definedName name="_IDVTrackerMinorVersion72_P" hidden="1">0</definedName>
    <definedName name="_IDVTrackerVersion72_H" hidden="1">5</definedName>
    <definedName name="_IDVTrackerVersion72_P" hidden="1">25</definedName>
    <definedName name="_xlnm.Print_Area" localSheetId="4">Processes!$A$3:$D$10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0" l="1"/>
  <c r="I12" i="26"/>
  <c r="T6" i="26"/>
  <c r="L9" i="14" l="1"/>
  <c r="L10" i="14" s="1"/>
  <c r="M9" i="14"/>
  <c r="M10" i="14" s="1"/>
  <c r="L13" i="14"/>
  <c r="M13" i="14"/>
  <c r="T18" i="19" l="1"/>
  <c r="BJ7" i="26" l="1"/>
  <c r="BJ6" i="26"/>
  <c r="BJ5" i="26"/>
  <c r="BH7" i="26"/>
  <c r="BH6" i="26"/>
  <c r="BH5" i="26"/>
  <c r="BF7" i="26"/>
  <c r="BF6" i="26"/>
  <c r="BF5" i="26"/>
  <c r="BD7" i="26"/>
  <c r="BD6" i="26"/>
  <c r="BD5" i="26"/>
  <c r="BB7" i="26"/>
  <c r="BB6" i="26"/>
  <c r="BB5" i="26"/>
  <c r="AZ7" i="26"/>
  <c r="AZ6" i="26"/>
  <c r="AZ5" i="26"/>
  <c r="AX7" i="26"/>
  <c r="AX6" i="26"/>
  <c r="AX5" i="26"/>
  <c r="AV7" i="26"/>
  <c r="AV6" i="26"/>
  <c r="AV5" i="26"/>
  <c r="AT7" i="26"/>
  <c r="AT6" i="26"/>
  <c r="AT5" i="26"/>
  <c r="AR7" i="26"/>
  <c r="AR6" i="26"/>
  <c r="AR5" i="26"/>
  <c r="AP7" i="26"/>
  <c r="AP6" i="26"/>
  <c r="AP5" i="26"/>
  <c r="AN7" i="26"/>
  <c r="AN6" i="26"/>
  <c r="AN5" i="26"/>
  <c r="AL7" i="26"/>
  <c r="AL6" i="26"/>
  <c r="AL5" i="26"/>
  <c r="AJ7" i="26"/>
  <c r="AJ6" i="26"/>
  <c r="AJ5" i="26"/>
  <c r="AH7" i="26"/>
  <c r="AH6" i="26"/>
  <c r="AH5" i="26"/>
  <c r="AF7" i="26"/>
  <c r="AF6" i="26"/>
  <c r="AF5" i="26"/>
  <c r="AD7" i="26"/>
  <c r="AD6" i="26"/>
  <c r="AD5" i="26"/>
  <c r="AB7" i="26"/>
  <c r="AB6" i="26"/>
  <c r="AB5" i="26"/>
  <c r="Z7" i="26"/>
  <c r="Z6" i="26"/>
  <c r="Z5" i="26"/>
  <c r="X7" i="26"/>
  <c r="X6" i="26"/>
  <c r="X5" i="26"/>
  <c r="V7" i="26"/>
  <c r="V6" i="26"/>
  <c r="V5" i="26"/>
  <c r="T7" i="26"/>
  <c r="T5" i="26"/>
  <c r="E12" i="26"/>
  <c r="C3" i="26"/>
  <c r="BK12" i="26"/>
  <c r="BI12" i="26"/>
  <c r="BG12" i="26"/>
  <c r="BE12" i="26"/>
  <c r="BC12" i="26"/>
  <c r="BA12" i="26"/>
  <c r="AY12" i="26"/>
  <c r="AW12" i="26"/>
  <c r="AU12" i="26"/>
  <c r="AS12" i="26"/>
  <c r="AQ12" i="26"/>
  <c r="AO12" i="26"/>
  <c r="AM12" i="26"/>
  <c r="AK12" i="26"/>
  <c r="AI12" i="26"/>
  <c r="AG12" i="26"/>
  <c r="AE12" i="26"/>
  <c r="AC12" i="26"/>
  <c r="AA12" i="26"/>
  <c r="Y12" i="26"/>
  <c r="W12" i="26"/>
  <c r="U12" i="26"/>
  <c r="S12" i="26"/>
  <c r="G12" i="26"/>
  <c r="BK8" i="26"/>
  <c r="BK9" i="26" s="1"/>
  <c r="U37" i="19" s="1"/>
  <c r="BI8" i="26"/>
  <c r="BI9" i="26" s="1"/>
  <c r="U36" i="19" s="1"/>
  <c r="BG8" i="26"/>
  <c r="BG9" i="26" s="1"/>
  <c r="U35" i="19" s="1"/>
  <c r="BE8" i="26"/>
  <c r="BE9" i="26" s="1"/>
  <c r="U34" i="19" s="1"/>
  <c r="BC8" i="26"/>
  <c r="BC9" i="26" s="1"/>
  <c r="U33" i="19" s="1"/>
  <c r="BA8" i="26"/>
  <c r="BA9" i="26" s="1"/>
  <c r="U32" i="19" s="1"/>
  <c r="AY8" i="26"/>
  <c r="AY9" i="26" s="1"/>
  <c r="U31" i="19" s="1"/>
  <c r="AW8" i="26"/>
  <c r="AW9" i="26" s="1"/>
  <c r="U30" i="19" s="1"/>
  <c r="AU8" i="26"/>
  <c r="AU9" i="26" s="1"/>
  <c r="U29" i="19" s="1"/>
  <c r="AS8" i="26"/>
  <c r="AS9" i="26" s="1"/>
  <c r="U28" i="19" s="1"/>
  <c r="AQ8" i="26"/>
  <c r="AQ9" i="26" s="1"/>
  <c r="U27" i="19" s="1"/>
  <c r="AO8" i="26"/>
  <c r="AO9" i="26" s="1"/>
  <c r="U26" i="19" s="1"/>
  <c r="AM8" i="26"/>
  <c r="AM9" i="26" s="1"/>
  <c r="U25" i="19" s="1"/>
  <c r="AK8" i="26"/>
  <c r="AK9" i="26" s="1"/>
  <c r="U24" i="19" s="1"/>
  <c r="AI8" i="26"/>
  <c r="AI9" i="26" s="1"/>
  <c r="U23" i="19" s="1"/>
  <c r="AG8" i="26"/>
  <c r="AG9" i="26" s="1"/>
  <c r="U22" i="19" s="1"/>
  <c r="AE8" i="26"/>
  <c r="AE9" i="26" s="1"/>
  <c r="U21" i="19" s="1"/>
  <c r="AC8" i="26"/>
  <c r="AC9" i="26" s="1"/>
  <c r="U20" i="19" s="1"/>
  <c r="AA8" i="26"/>
  <c r="AA9" i="26" s="1"/>
  <c r="U19" i="19" s="1"/>
  <c r="Y8" i="26"/>
  <c r="Y9" i="26" s="1"/>
  <c r="U18" i="19" s="1"/>
  <c r="W8" i="26"/>
  <c r="W9" i="26" s="1"/>
  <c r="U17" i="19" s="1"/>
  <c r="U8" i="26"/>
  <c r="U9" i="26" s="1"/>
  <c r="U16" i="19" s="1"/>
  <c r="S8" i="26"/>
  <c r="S9" i="26" s="1"/>
  <c r="Q8" i="26"/>
  <c r="O8" i="26"/>
  <c r="M8" i="26"/>
  <c r="M9" i="26" s="1"/>
  <c r="U12" i="19" s="1"/>
  <c r="I8" i="26"/>
  <c r="I9" i="26" s="1"/>
  <c r="U10" i="19" s="1"/>
  <c r="G8" i="26"/>
  <c r="E8" i="26"/>
  <c r="E9" i="26" s="1"/>
  <c r="U8" i="19" s="1"/>
  <c r="B3" i="26"/>
  <c r="G9" i="26" l="1"/>
  <c r="U9" i="19" s="1"/>
  <c r="U14" i="19"/>
  <c r="Q9" i="26"/>
  <c r="O9" i="26"/>
  <c r="U13" i="19" s="1"/>
  <c r="K8" i="26"/>
  <c r="K9" i="26" s="1"/>
  <c r="U11" i="19" s="1"/>
  <c r="U15" i="19"/>
  <c r="F9" i="14" l="1"/>
  <c r="F10" i="14" s="1"/>
  <c r="R9" i="19" s="1"/>
  <c r="T37" i="19"/>
  <c r="T36" i="19"/>
  <c r="T35" i="19"/>
  <c r="T34" i="19"/>
  <c r="T33" i="19"/>
  <c r="T32" i="19"/>
  <c r="T31" i="19"/>
  <c r="T30" i="19"/>
  <c r="T29" i="19"/>
  <c r="T28" i="19"/>
  <c r="T27" i="19"/>
  <c r="T26" i="19"/>
  <c r="T25" i="19"/>
  <c r="T24" i="19"/>
  <c r="T23" i="19"/>
  <c r="T22" i="19"/>
  <c r="T21" i="19"/>
  <c r="T20" i="19"/>
  <c r="T19" i="19"/>
  <c r="T17" i="19"/>
  <c r="T16" i="19"/>
  <c r="T15" i="19"/>
  <c r="R37" i="19"/>
  <c r="R36" i="19"/>
  <c r="R35" i="19"/>
  <c r="R34" i="19"/>
  <c r="R33" i="19"/>
  <c r="R32" i="19"/>
  <c r="R31" i="19"/>
  <c r="R30" i="19"/>
  <c r="R29" i="19"/>
  <c r="R28" i="19"/>
  <c r="R27" i="19"/>
  <c r="R26" i="19"/>
  <c r="R25" i="19"/>
  <c r="R24" i="19"/>
  <c r="R23" i="19"/>
  <c r="R22" i="19"/>
  <c r="R21" i="19"/>
  <c r="R20" i="19"/>
  <c r="R19" i="19"/>
  <c r="R18" i="19"/>
  <c r="R17" i="19"/>
  <c r="R16" i="19"/>
  <c r="R15" i="19"/>
  <c r="E14" i="9"/>
  <c r="G14" i="9"/>
  <c r="H14" i="9"/>
  <c r="I14" i="9"/>
  <c r="J14" i="9"/>
  <c r="K14" i="9"/>
  <c r="L14" i="9"/>
  <c r="M14" i="9"/>
  <c r="N14" i="9"/>
  <c r="O14" i="9"/>
  <c r="P14" i="9"/>
  <c r="Q14" i="9"/>
  <c r="R14" i="9"/>
  <c r="S14" i="9"/>
  <c r="T14" i="9"/>
  <c r="U14" i="9"/>
  <c r="V14" i="9"/>
  <c r="W14" i="9"/>
  <c r="X14" i="9"/>
  <c r="Y14" i="9"/>
  <c r="Z14" i="9"/>
  <c r="AA14" i="9"/>
  <c r="AB14" i="9"/>
  <c r="AC14" i="9"/>
  <c r="AD14" i="9"/>
  <c r="AE14" i="9"/>
  <c r="AF14" i="9"/>
  <c r="AG14" i="9"/>
  <c r="AH14" i="9"/>
  <c r="F13" i="7"/>
  <c r="G13" i="7"/>
  <c r="H13" i="7"/>
  <c r="I13" i="7"/>
  <c r="J13" i="7"/>
  <c r="L13" i="7"/>
  <c r="M13" i="7"/>
  <c r="N13" i="7"/>
  <c r="O13" i="7"/>
  <c r="P13" i="7"/>
  <c r="Q13" i="7"/>
  <c r="R13" i="7"/>
  <c r="S13" i="7"/>
  <c r="T13" i="7"/>
  <c r="U13" i="7"/>
  <c r="V13" i="7"/>
  <c r="W13" i="7"/>
  <c r="X13" i="7"/>
  <c r="Y13" i="7"/>
  <c r="Z13" i="7"/>
  <c r="AA13" i="7"/>
  <c r="AB13" i="7"/>
  <c r="AC13" i="7"/>
  <c r="AD13" i="7"/>
  <c r="AE13" i="7"/>
  <c r="AF13" i="7"/>
  <c r="AG13" i="7"/>
  <c r="AH13" i="7"/>
  <c r="E13" i="7"/>
  <c r="G13" i="14"/>
  <c r="H13" i="14"/>
  <c r="J13" i="14"/>
  <c r="N13" i="14"/>
  <c r="O13" i="14"/>
  <c r="P13" i="14"/>
  <c r="Q13" i="14"/>
  <c r="R13" i="14"/>
  <c r="S13" i="14"/>
  <c r="T13" i="14"/>
  <c r="U13" i="14"/>
  <c r="V13" i="14"/>
  <c r="W13" i="14"/>
  <c r="X13" i="14"/>
  <c r="Y13" i="14"/>
  <c r="Z13" i="14"/>
  <c r="AA13" i="14"/>
  <c r="AB13" i="14"/>
  <c r="AC13" i="14"/>
  <c r="AD13" i="14"/>
  <c r="AE13" i="14"/>
  <c r="AF13" i="14"/>
  <c r="AG13" i="14"/>
  <c r="AH13" i="14"/>
  <c r="E13" i="14"/>
  <c r="F14" i="10"/>
  <c r="G14" i="10"/>
  <c r="H14" i="10"/>
  <c r="J14" i="10"/>
  <c r="L14" i="10"/>
  <c r="M14" i="10"/>
  <c r="N14" i="10"/>
  <c r="O14" i="10"/>
  <c r="P14" i="10"/>
  <c r="Q14" i="10"/>
  <c r="R14" i="10"/>
  <c r="S14" i="10"/>
  <c r="T14" i="10"/>
  <c r="U14" i="10"/>
  <c r="V14" i="10"/>
  <c r="W14" i="10"/>
  <c r="X14" i="10"/>
  <c r="Y14" i="10"/>
  <c r="Z14" i="10"/>
  <c r="AA14" i="10"/>
  <c r="AB14" i="10"/>
  <c r="AC14" i="10"/>
  <c r="AD14" i="10"/>
  <c r="AE14" i="10"/>
  <c r="AF14" i="10"/>
  <c r="AG14" i="10"/>
  <c r="AH14" i="10"/>
  <c r="E3" i="10"/>
  <c r="E3" i="26" l="1"/>
  <c r="AH10" i="9"/>
  <c r="AH9" i="14"/>
  <c r="E9" i="14"/>
  <c r="AI12" i="7" l="1"/>
  <c r="E10" i="10"/>
  <c r="E11" i="10" s="1"/>
  <c r="Q8" i="19" s="1"/>
  <c r="E9" i="7"/>
  <c r="E10" i="7" s="1"/>
  <c r="S8" i="19" s="1"/>
  <c r="C3" i="9"/>
  <c r="C3" i="7"/>
  <c r="C3" i="14"/>
  <c r="AH11" i="9"/>
  <c r="AG10" i="9"/>
  <c r="AG11" i="9" s="1"/>
  <c r="AF10" i="9"/>
  <c r="AF11" i="9" s="1"/>
  <c r="AE10" i="9"/>
  <c r="AE11" i="9" s="1"/>
  <c r="AD10" i="9"/>
  <c r="AD11" i="9" s="1"/>
  <c r="AC10" i="9"/>
  <c r="AC11" i="9" s="1"/>
  <c r="AB10" i="9"/>
  <c r="AB11" i="9" s="1"/>
  <c r="AA10" i="9"/>
  <c r="AA11" i="9" s="1"/>
  <c r="Z10" i="9"/>
  <c r="Z11" i="9" s="1"/>
  <c r="Y10" i="9"/>
  <c r="Y11" i="9" s="1"/>
  <c r="X10" i="9"/>
  <c r="X11" i="9" s="1"/>
  <c r="W10" i="9"/>
  <c r="W11" i="9" s="1"/>
  <c r="V10" i="9"/>
  <c r="V11" i="9" s="1"/>
  <c r="U10" i="9"/>
  <c r="U11" i="9" s="1"/>
  <c r="T10" i="9"/>
  <c r="T11" i="9" s="1"/>
  <c r="S10" i="9"/>
  <c r="S11" i="9" s="1"/>
  <c r="R10" i="9"/>
  <c r="R11" i="9" s="1"/>
  <c r="Q10" i="9"/>
  <c r="Q11" i="9" s="1"/>
  <c r="P10" i="9"/>
  <c r="P11" i="9" s="1"/>
  <c r="O10" i="9"/>
  <c r="O11" i="9" s="1"/>
  <c r="N10" i="9"/>
  <c r="N11" i="9" s="1"/>
  <c r="M10" i="9"/>
  <c r="M11" i="9" s="1"/>
  <c r="L10" i="9"/>
  <c r="L11" i="9" s="1"/>
  <c r="K10" i="9"/>
  <c r="K11" i="9" s="1"/>
  <c r="T14" i="19" s="1"/>
  <c r="J10" i="9"/>
  <c r="J11" i="9" s="1"/>
  <c r="T13" i="19" s="1"/>
  <c r="I10" i="9"/>
  <c r="I11" i="9" s="1"/>
  <c r="T12" i="19" s="1"/>
  <c r="G10" i="9"/>
  <c r="G11" i="9" s="1"/>
  <c r="T10" i="19" s="1"/>
  <c r="F10" i="9"/>
  <c r="F11" i="9" s="1"/>
  <c r="T9" i="19" s="1"/>
  <c r="E10" i="9"/>
  <c r="E11" i="9" s="1"/>
  <c r="T8" i="19" s="1"/>
  <c r="AH9" i="7"/>
  <c r="AH10" i="7" s="1"/>
  <c r="S37" i="19" s="1"/>
  <c r="AG9" i="7"/>
  <c r="AG10" i="7" s="1"/>
  <c r="S36" i="19" s="1"/>
  <c r="AF9" i="7"/>
  <c r="AF10" i="7" s="1"/>
  <c r="S35" i="19" s="1"/>
  <c r="AE9" i="7"/>
  <c r="AE10" i="7" s="1"/>
  <c r="S34" i="19" s="1"/>
  <c r="AD9" i="7"/>
  <c r="AD10" i="7" s="1"/>
  <c r="S33" i="19" s="1"/>
  <c r="AC9" i="7"/>
  <c r="AC10" i="7" s="1"/>
  <c r="S32" i="19" s="1"/>
  <c r="AB9" i="7"/>
  <c r="AB10" i="7" s="1"/>
  <c r="S31" i="19" s="1"/>
  <c r="AA9" i="7"/>
  <c r="AA10" i="7" s="1"/>
  <c r="S30" i="19" s="1"/>
  <c r="Z9" i="7"/>
  <c r="Z10" i="7" s="1"/>
  <c r="S29" i="19" s="1"/>
  <c r="Y9" i="7"/>
  <c r="Y10" i="7" s="1"/>
  <c r="S28" i="19" s="1"/>
  <c r="X9" i="7"/>
  <c r="X10" i="7" s="1"/>
  <c r="S27" i="19" s="1"/>
  <c r="W9" i="7"/>
  <c r="W10" i="7" s="1"/>
  <c r="S26" i="19" s="1"/>
  <c r="V9" i="7"/>
  <c r="V10" i="7" s="1"/>
  <c r="S25" i="19" s="1"/>
  <c r="U9" i="7"/>
  <c r="U10" i="7" s="1"/>
  <c r="S24" i="19" s="1"/>
  <c r="T9" i="7"/>
  <c r="T10" i="7" s="1"/>
  <c r="S23" i="19" s="1"/>
  <c r="S9" i="7"/>
  <c r="S10" i="7" s="1"/>
  <c r="S22" i="19" s="1"/>
  <c r="R9" i="7"/>
  <c r="R10" i="7" s="1"/>
  <c r="S21" i="19" s="1"/>
  <c r="Q9" i="7"/>
  <c r="Q10" i="7" s="1"/>
  <c r="S20" i="19" s="1"/>
  <c r="P9" i="7"/>
  <c r="P10" i="7" s="1"/>
  <c r="S19" i="19" s="1"/>
  <c r="O9" i="7"/>
  <c r="O10" i="7" s="1"/>
  <c r="S18" i="19" s="1"/>
  <c r="N9" i="7"/>
  <c r="N10" i="7" s="1"/>
  <c r="S17" i="19" s="1"/>
  <c r="M9" i="7"/>
  <c r="M10" i="7" s="1"/>
  <c r="S16" i="19" s="1"/>
  <c r="L9" i="7"/>
  <c r="L10" i="7" s="1"/>
  <c r="S15" i="19" s="1"/>
  <c r="K9" i="7"/>
  <c r="K10" i="7" s="1"/>
  <c r="S14" i="19" s="1"/>
  <c r="J9" i="7"/>
  <c r="J10" i="7" s="1"/>
  <c r="S13" i="19" s="1"/>
  <c r="I9" i="7"/>
  <c r="I10" i="7" s="1"/>
  <c r="S12" i="19" s="1"/>
  <c r="H9" i="7"/>
  <c r="H10" i="7" s="1"/>
  <c r="S11" i="19" s="1"/>
  <c r="G9" i="7"/>
  <c r="G10" i="7" s="1"/>
  <c r="S10" i="19" s="1"/>
  <c r="F9" i="7"/>
  <c r="F10" i="7" s="1"/>
  <c r="S9" i="19" s="1"/>
  <c r="AH10" i="14"/>
  <c r="AG9" i="14"/>
  <c r="AG10" i="14" s="1"/>
  <c r="AF9" i="14"/>
  <c r="AF10" i="14" s="1"/>
  <c r="AE9" i="14"/>
  <c r="AE10" i="14" s="1"/>
  <c r="AD9" i="14"/>
  <c r="AD10" i="14" s="1"/>
  <c r="AC9" i="14"/>
  <c r="AC10" i="14" s="1"/>
  <c r="AB9" i="14"/>
  <c r="AB10" i="14" s="1"/>
  <c r="AA9" i="14"/>
  <c r="AA10" i="14" s="1"/>
  <c r="Z9" i="14"/>
  <c r="Z10" i="14" s="1"/>
  <c r="Y9" i="14"/>
  <c r="Y10" i="14" s="1"/>
  <c r="X9" i="14"/>
  <c r="X10" i="14" s="1"/>
  <c r="W9" i="14"/>
  <c r="W10" i="14" s="1"/>
  <c r="V9" i="14"/>
  <c r="V10" i="14" s="1"/>
  <c r="U9" i="14"/>
  <c r="U10" i="14" s="1"/>
  <c r="T9" i="14"/>
  <c r="T10" i="14" s="1"/>
  <c r="S9" i="14"/>
  <c r="S10" i="14" s="1"/>
  <c r="R9" i="14"/>
  <c r="R10" i="14" s="1"/>
  <c r="Q9" i="14"/>
  <c r="Q10" i="14" s="1"/>
  <c r="P9" i="14"/>
  <c r="P10" i="14" s="1"/>
  <c r="O9" i="14"/>
  <c r="O10" i="14" s="1"/>
  <c r="N9" i="14"/>
  <c r="N10" i="14" s="1"/>
  <c r="K9" i="14"/>
  <c r="K10" i="14" s="1"/>
  <c r="R14" i="19" s="1"/>
  <c r="J9" i="14"/>
  <c r="J10" i="14" s="1"/>
  <c r="R13" i="19" s="1"/>
  <c r="I9" i="14"/>
  <c r="I10" i="14" s="1"/>
  <c r="R12" i="19" s="1"/>
  <c r="H9" i="14"/>
  <c r="H10" i="14" s="1"/>
  <c r="R11" i="19" s="1"/>
  <c r="G9" i="14"/>
  <c r="G10" i="14" s="1"/>
  <c r="R10" i="19" s="1"/>
  <c r="AH10" i="10"/>
  <c r="AH11" i="10" s="1"/>
  <c r="Q37" i="19" s="1"/>
  <c r="AG10" i="10"/>
  <c r="AG11" i="10" s="1"/>
  <c r="Q36" i="19" s="1"/>
  <c r="AF10" i="10"/>
  <c r="AF11" i="10" s="1"/>
  <c r="Q35" i="19" s="1"/>
  <c r="AE10" i="10"/>
  <c r="AE11" i="10" s="1"/>
  <c r="Q34" i="19" s="1"/>
  <c r="AD10" i="10"/>
  <c r="AD11" i="10" s="1"/>
  <c r="Q33" i="19" s="1"/>
  <c r="AC10" i="10"/>
  <c r="AC11" i="10" s="1"/>
  <c r="Q32" i="19" s="1"/>
  <c r="AB10" i="10"/>
  <c r="AB11" i="10" s="1"/>
  <c r="Q31" i="19" s="1"/>
  <c r="AA10" i="10"/>
  <c r="AA11" i="10" s="1"/>
  <c r="Q30" i="19" s="1"/>
  <c r="Z10" i="10"/>
  <c r="Z11" i="10" s="1"/>
  <c r="Q29" i="19" s="1"/>
  <c r="Y10" i="10"/>
  <c r="Y11" i="10" s="1"/>
  <c r="Q28" i="19" s="1"/>
  <c r="X10" i="10"/>
  <c r="X11" i="10" s="1"/>
  <c r="Q27" i="19" s="1"/>
  <c r="W10" i="10"/>
  <c r="W11" i="10" s="1"/>
  <c r="Q26" i="19" s="1"/>
  <c r="V10" i="10"/>
  <c r="V11" i="10" s="1"/>
  <c r="Q25" i="19" s="1"/>
  <c r="U10" i="10"/>
  <c r="U11" i="10" s="1"/>
  <c r="Q24" i="19" s="1"/>
  <c r="T10" i="10"/>
  <c r="T11" i="10" s="1"/>
  <c r="Q23" i="19" s="1"/>
  <c r="S10" i="10"/>
  <c r="S11" i="10" s="1"/>
  <c r="Q22" i="19" s="1"/>
  <c r="R10" i="10"/>
  <c r="R11" i="10" s="1"/>
  <c r="Q21" i="19" s="1"/>
  <c r="Q10" i="10"/>
  <c r="Q11" i="10" s="1"/>
  <c r="Q20" i="19" s="1"/>
  <c r="P10" i="10"/>
  <c r="P11" i="10" s="1"/>
  <c r="Q19" i="19" s="1"/>
  <c r="O10" i="10"/>
  <c r="O11" i="10" s="1"/>
  <c r="Q18" i="19" s="1"/>
  <c r="N10" i="10"/>
  <c r="N11" i="10" s="1"/>
  <c r="Q17" i="19" s="1"/>
  <c r="M10" i="10"/>
  <c r="M11" i="10" s="1"/>
  <c r="Q16" i="19" s="1"/>
  <c r="L10" i="10"/>
  <c r="L11" i="10" s="1"/>
  <c r="Q15" i="19" s="1"/>
  <c r="K10" i="10"/>
  <c r="K11" i="10" s="1"/>
  <c r="Q14" i="19" s="1"/>
  <c r="J10" i="10"/>
  <c r="J11" i="10" s="1"/>
  <c r="Q13" i="19" s="1"/>
  <c r="I10" i="10"/>
  <c r="I11" i="10" s="1"/>
  <c r="Q12" i="19" s="1"/>
  <c r="H10" i="10"/>
  <c r="H11" i="10" s="1"/>
  <c r="Q11" i="19" s="1"/>
  <c r="G10" i="10"/>
  <c r="G11" i="10" s="1"/>
  <c r="Q10" i="19" s="1"/>
  <c r="F10" i="10"/>
  <c r="F2" i="10"/>
  <c r="B3" i="9"/>
  <c r="B3" i="7"/>
  <c r="F3" i="10"/>
  <c r="W10" i="19" l="1"/>
  <c r="AE10" i="19" s="1"/>
  <c r="G2" i="10"/>
  <c r="G3" i="26"/>
  <c r="D22" i="23"/>
  <c r="Q4" i="23"/>
  <c r="D24" i="23"/>
  <c r="S4" i="23"/>
  <c r="D21" i="23"/>
  <c r="P4" i="23"/>
  <c r="T4" i="23"/>
  <c r="D25" i="23"/>
  <c r="D34" i="23"/>
  <c r="AC4" i="23"/>
  <c r="D28" i="23"/>
  <c r="W4" i="23"/>
  <c r="D23" i="23"/>
  <c r="R4" i="23"/>
  <c r="I4" i="23"/>
  <c r="D14" i="23"/>
  <c r="X4" i="23"/>
  <c r="D29" i="23"/>
  <c r="AB4" i="23"/>
  <c r="D33" i="23"/>
  <c r="U4" i="23"/>
  <c r="D26" i="23"/>
  <c r="D30" i="23"/>
  <c r="Y4" i="23"/>
  <c r="D11" i="23"/>
  <c r="F4" i="23"/>
  <c r="D13" i="23"/>
  <c r="H4" i="23"/>
  <c r="V4" i="23"/>
  <c r="D27" i="23"/>
  <c r="Z4" i="23"/>
  <c r="D31" i="23"/>
  <c r="D10" i="23"/>
  <c r="E4" i="23"/>
  <c r="D12" i="23"/>
  <c r="G4" i="23"/>
  <c r="J4" i="23"/>
  <c r="D15" i="23"/>
  <c r="K4" i="23"/>
  <c r="D16" i="23"/>
  <c r="L4" i="23"/>
  <c r="D17" i="23"/>
  <c r="M4" i="23"/>
  <c r="D18" i="23"/>
  <c r="D19" i="23"/>
  <c r="N4" i="23"/>
  <c r="D8" i="23"/>
  <c r="C4" i="23"/>
  <c r="D20" i="23"/>
  <c r="O4" i="23"/>
  <c r="AA4" i="23"/>
  <c r="D32" i="23"/>
  <c r="H3" i="23"/>
  <c r="C13" i="23"/>
  <c r="C24" i="23"/>
  <c r="S3" i="23"/>
  <c r="T3" i="23"/>
  <c r="C25" i="23"/>
  <c r="W3" i="23"/>
  <c r="C28" i="23"/>
  <c r="J3" i="23"/>
  <c r="C15" i="23"/>
  <c r="X3" i="23"/>
  <c r="C29" i="23"/>
  <c r="C14" i="23"/>
  <c r="I3" i="23"/>
  <c r="C30" i="23"/>
  <c r="Y3" i="23"/>
  <c r="V3" i="23"/>
  <c r="C27" i="23"/>
  <c r="C31" i="23"/>
  <c r="Z3" i="23"/>
  <c r="G3" i="23"/>
  <c r="C12" i="23"/>
  <c r="K3" i="23"/>
  <c r="C16" i="23"/>
  <c r="C7" i="23"/>
  <c r="B3" i="23"/>
  <c r="C19" i="23"/>
  <c r="N3" i="23"/>
  <c r="C20" i="23"/>
  <c r="O3" i="23"/>
  <c r="U3" i="23"/>
  <c r="C26" i="23"/>
  <c r="L3" i="23"/>
  <c r="C17" i="23"/>
  <c r="M3" i="23"/>
  <c r="C18" i="23"/>
  <c r="C8" i="23"/>
  <c r="C3" i="23"/>
  <c r="C32" i="23"/>
  <c r="AA3" i="23"/>
  <c r="D3" i="23"/>
  <c r="C9" i="23"/>
  <c r="AC3" i="23"/>
  <c r="C34" i="23"/>
  <c r="C11" i="23"/>
  <c r="F3" i="23"/>
  <c r="C10" i="23"/>
  <c r="E3" i="23"/>
  <c r="P3" i="23"/>
  <c r="C21" i="23"/>
  <c r="C22" i="23"/>
  <c r="Q3" i="23"/>
  <c r="C33" i="23"/>
  <c r="AB3" i="23"/>
  <c r="C23" i="23"/>
  <c r="R3" i="23"/>
  <c r="B23" i="23"/>
  <c r="R2" i="23"/>
  <c r="B12" i="23"/>
  <c r="G2" i="23"/>
  <c r="B11" i="23"/>
  <c r="F2" i="23"/>
  <c r="U2" i="23"/>
  <c r="B26" i="23"/>
  <c r="B24" i="23"/>
  <c r="S2" i="23"/>
  <c r="H2" i="23"/>
  <c r="B13" i="23"/>
  <c r="Y2" i="23"/>
  <c r="B30" i="23"/>
  <c r="B28" i="23"/>
  <c r="W2" i="23"/>
  <c r="L2" i="23"/>
  <c r="B17" i="23"/>
  <c r="Z2" i="23"/>
  <c r="B31" i="23"/>
  <c r="I2" i="23"/>
  <c r="B14" i="23"/>
  <c r="B18" i="23"/>
  <c r="M2" i="23"/>
  <c r="N2" i="23"/>
  <c r="B19" i="23"/>
  <c r="O2" i="23"/>
  <c r="B20" i="23"/>
  <c r="AA2" i="23"/>
  <c r="B32" i="23"/>
  <c r="T2" i="23"/>
  <c r="B25" i="23"/>
  <c r="B16" i="23"/>
  <c r="K2" i="23"/>
  <c r="X2" i="23"/>
  <c r="B29" i="23"/>
  <c r="B2" i="23"/>
  <c r="B7" i="23"/>
  <c r="C2" i="23"/>
  <c r="B8" i="23"/>
  <c r="B9" i="23"/>
  <c r="D2" i="23"/>
  <c r="B21" i="23"/>
  <c r="P2" i="23"/>
  <c r="B33" i="23"/>
  <c r="AB2" i="23"/>
  <c r="B10" i="23"/>
  <c r="E2" i="23"/>
  <c r="B34" i="23"/>
  <c r="AC2" i="23"/>
  <c r="V2" i="23"/>
  <c r="B27" i="23"/>
  <c r="B15" i="23"/>
  <c r="J2" i="23"/>
  <c r="B22" i="23"/>
  <c r="Q2" i="23"/>
  <c r="X1" i="23"/>
  <c r="A29" i="23"/>
  <c r="A34" i="23"/>
  <c r="AC1" i="23"/>
  <c r="F1" i="23"/>
  <c r="A11" i="23"/>
  <c r="A12" i="23"/>
  <c r="G1" i="23"/>
  <c r="W14" i="19"/>
  <c r="AE14" i="19" s="1"/>
  <c r="A22" i="23"/>
  <c r="Q1" i="23"/>
  <c r="A25" i="23"/>
  <c r="T1" i="23"/>
  <c r="A26" i="23"/>
  <c r="U1" i="23"/>
  <c r="A23" i="23"/>
  <c r="R1" i="23"/>
  <c r="A24" i="23"/>
  <c r="S1" i="23"/>
  <c r="W26" i="19"/>
  <c r="AE26" i="19" s="1"/>
  <c r="A13" i="23"/>
  <c r="H1" i="23"/>
  <c r="A14" i="23"/>
  <c r="I1" i="23"/>
  <c r="J1" i="23"/>
  <c r="A15" i="23"/>
  <c r="V1" i="23"/>
  <c r="A27" i="23"/>
  <c r="L1" i="23"/>
  <c r="A17" i="23"/>
  <c r="A10" i="23"/>
  <c r="E1" i="23"/>
  <c r="A16" i="23"/>
  <c r="K1" i="23"/>
  <c r="W18" i="19"/>
  <c r="AE18" i="19" s="1"/>
  <c r="A28" i="23"/>
  <c r="W1" i="23"/>
  <c r="Y1" i="23"/>
  <c r="A30" i="23"/>
  <c r="A32" i="23"/>
  <c r="AA1" i="23"/>
  <c r="AB1" i="23"/>
  <c r="A33" i="23"/>
  <c r="A8" i="23"/>
  <c r="C1" i="23"/>
  <c r="A9" i="23"/>
  <c r="D1" i="23"/>
  <c r="Z1" i="23"/>
  <c r="A31" i="23"/>
  <c r="N1" i="23"/>
  <c r="A19" i="23"/>
  <c r="M1" i="23"/>
  <c r="A18" i="23"/>
  <c r="A20" i="23"/>
  <c r="O1" i="23"/>
  <c r="A21" i="23"/>
  <c r="P1" i="23"/>
  <c r="E3" i="14"/>
  <c r="B4" i="23"/>
  <c r="D7" i="23"/>
  <c r="E3" i="9"/>
  <c r="E3" i="7"/>
  <c r="D6" i="23"/>
  <c r="A4" i="23"/>
  <c r="A1" i="23"/>
  <c r="A6" i="23"/>
  <c r="AD1" i="23"/>
  <c r="A35" i="23"/>
  <c r="AD2" i="23"/>
  <c r="B35" i="23"/>
  <c r="AD3" i="23"/>
  <c r="C35" i="23"/>
  <c r="AD4" i="23"/>
  <c r="D35" i="23"/>
  <c r="E10" i="14"/>
  <c r="R8" i="19" s="1"/>
  <c r="F11" i="10"/>
  <c r="Q9" i="19" s="1"/>
  <c r="F3" i="14"/>
  <c r="F3" i="9"/>
  <c r="F3" i="7"/>
  <c r="H2" i="10"/>
  <c r="G3" i="10"/>
  <c r="I3" i="26" l="1"/>
  <c r="W19" i="19"/>
  <c r="AE19" i="19" s="1"/>
  <c r="W17" i="19"/>
  <c r="AE17" i="19" s="1"/>
  <c r="W25" i="19"/>
  <c r="AE25" i="19" s="1"/>
  <c r="W22" i="19"/>
  <c r="AE22" i="19" s="1"/>
  <c r="W30" i="19"/>
  <c r="AE30" i="19" s="1"/>
  <c r="W21" i="19"/>
  <c r="AE21" i="19" s="1"/>
  <c r="W36" i="19"/>
  <c r="AE36" i="19" s="1"/>
  <c r="W13" i="19"/>
  <c r="AE13" i="19" s="1"/>
  <c r="W23" i="19"/>
  <c r="AE23" i="19" s="1"/>
  <c r="W31" i="19"/>
  <c r="AE31" i="19" s="1"/>
  <c r="W35" i="19"/>
  <c r="AE35" i="19" s="1"/>
  <c r="W16" i="19"/>
  <c r="AE16" i="19" s="1"/>
  <c r="W34" i="19"/>
  <c r="AE34" i="19" s="1"/>
  <c r="W28" i="19"/>
  <c r="AE28" i="19" s="1"/>
  <c r="W33" i="19"/>
  <c r="AE33" i="19" s="1"/>
  <c r="W15" i="19"/>
  <c r="AE15" i="19" s="1"/>
  <c r="W12" i="19"/>
  <c r="AE12" i="19" s="1"/>
  <c r="W27" i="19"/>
  <c r="AE27" i="19" s="1"/>
  <c r="W32" i="19"/>
  <c r="AE32" i="19" s="1"/>
  <c r="W29" i="19"/>
  <c r="AE29" i="19" s="1"/>
  <c r="W20" i="19"/>
  <c r="AE20" i="19" s="1"/>
  <c r="W24" i="19"/>
  <c r="AE24" i="19" s="1"/>
  <c r="W37" i="19"/>
  <c r="AE37" i="19" s="1"/>
  <c r="A3" i="23"/>
  <c r="C6" i="23"/>
  <c r="W8" i="19"/>
  <c r="AE8" i="19" s="1"/>
  <c r="B6" i="23"/>
  <c r="A2" i="23"/>
  <c r="W9" i="19"/>
  <c r="AE9" i="19" s="1"/>
  <c r="B1" i="23"/>
  <c r="A7" i="23"/>
  <c r="G3" i="14"/>
  <c r="G3" i="9"/>
  <c r="G3" i="7"/>
  <c r="I2" i="10"/>
  <c r="I3" i="10"/>
  <c r="H3" i="10"/>
  <c r="M3" i="26" l="1"/>
  <c r="K3" i="26"/>
  <c r="H3" i="9"/>
  <c r="H3" i="14"/>
  <c r="H3" i="7"/>
  <c r="J2" i="10"/>
  <c r="J3" i="10"/>
  <c r="I3" i="9" l="1"/>
  <c r="I3" i="14"/>
  <c r="I3" i="7"/>
  <c r="K2" i="10"/>
  <c r="K3" i="10"/>
  <c r="O3" i="26" l="1"/>
  <c r="J3" i="7"/>
  <c r="J3" i="9"/>
  <c r="J3" i="14"/>
  <c r="L2" i="10"/>
  <c r="Q3" i="26" l="1"/>
  <c r="K3" i="9"/>
  <c r="K3" i="7"/>
  <c r="K3" i="14"/>
  <c r="M2" i="10"/>
  <c r="L3" i="10"/>
  <c r="L3" i="14" l="1"/>
  <c r="S3" i="26"/>
  <c r="L3" i="9"/>
  <c r="L3" i="7"/>
  <c r="N2" i="10"/>
  <c r="M3" i="10"/>
  <c r="M3" i="14" l="1"/>
  <c r="U3" i="26"/>
  <c r="M3" i="7"/>
  <c r="M3" i="9"/>
  <c r="O2" i="10"/>
  <c r="N3" i="10"/>
  <c r="W3" i="26" l="1"/>
  <c r="N3" i="7"/>
  <c r="N3" i="9"/>
  <c r="N3" i="14"/>
  <c r="P2" i="10"/>
  <c r="O3" i="10"/>
  <c r="Y3" i="26" l="1"/>
  <c r="O3" i="14"/>
  <c r="O3" i="7"/>
  <c r="O3" i="9"/>
  <c r="Q2" i="10"/>
  <c r="P3" i="10"/>
  <c r="AA3" i="26" l="1"/>
  <c r="P3" i="7"/>
  <c r="P3" i="9"/>
  <c r="P3" i="14"/>
  <c r="R2" i="10"/>
  <c r="Q3" i="10"/>
  <c r="AC3" i="26" l="1"/>
  <c r="Q3" i="7"/>
  <c r="Q3" i="9"/>
  <c r="Q3" i="14"/>
  <c r="S2" i="10"/>
  <c r="R3" i="10"/>
  <c r="AE3" i="26" l="1"/>
  <c r="R3" i="9"/>
  <c r="R3" i="7"/>
  <c r="R3" i="14"/>
  <c r="T2" i="10"/>
  <c r="S3" i="10"/>
  <c r="AG3" i="26" l="1"/>
  <c r="S3" i="9"/>
  <c r="S3" i="14"/>
  <c r="S3" i="7"/>
  <c r="U2" i="10"/>
  <c r="T3" i="10"/>
  <c r="AI3" i="26" l="1"/>
  <c r="T3" i="14"/>
  <c r="T3" i="7"/>
  <c r="T3" i="9"/>
  <c r="V2" i="10"/>
  <c r="U3" i="10"/>
  <c r="AK3" i="26" l="1"/>
  <c r="U3" i="14"/>
  <c r="U3" i="9"/>
  <c r="U3" i="7"/>
  <c r="W2" i="10"/>
  <c r="V3" i="10"/>
  <c r="AM3" i="26" l="1"/>
  <c r="V3" i="14"/>
  <c r="V3" i="9"/>
  <c r="V3" i="7"/>
  <c r="X2" i="10"/>
  <c r="W3" i="10"/>
  <c r="AO3" i="26" l="1"/>
  <c r="W3" i="14"/>
  <c r="W3" i="7"/>
  <c r="W3" i="9"/>
  <c r="Y2" i="10"/>
  <c r="X3" i="10"/>
  <c r="AQ3" i="26" l="1"/>
  <c r="X3" i="14"/>
  <c r="X3" i="7"/>
  <c r="X3" i="9"/>
  <c r="Z2" i="10"/>
  <c r="Y3" i="10"/>
  <c r="AS3" i="26" l="1"/>
  <c r="Y3" i="14"/>
  <c r="Y3" i="9"/>
  <c r="Y3" i="7"/>
  <c r="AA2" i="10"/>
  <c r="Z3" i="10"/>
  <c r="AU3" i="26" l="1"/>
  <c r="Z3" i="14"/>
  <c r="Z3" i="9"/>
  <c r="Z3" i="7"/>
  <c r="AB2" i="10"/>
  <c r="AA3" i="10"/>
  <c r="AW3" i="26" l="1"/>
  <c r="AA3" i="7"/>
  <c r="AA3" i="14"/>
  <c r="AA3" i="9"/>
  <c r="AC2" i="10"/>
  <c r="AB3" i="10"/>
  <c r="AY3" i="26" l="1"/>
  <c r="AB3" i="7"/>
  <c r="AB3" i="14"/>
  <c r="AB3" i="9"/>
  <c r="AD2" i="10"/>
  <c r="AC3" i="10"/>
  <c r="BA3" i="26" l="1"/>
  <c r="AC3" i="7"/>
  <c r="AC3" i="14"/>
  <c r="AC3" i="9"/>
  <c r="AE2" i="10"/>
  <c r="AD3" i="10"/>
  <c r="BC3" i="26" l="1"/>
  <c r="AD3" i="9"/>
  <c r="AD3" i="7"/>
  <c r="AD3" i="14"/>
  <c r="AF2" i="10"/>
  <c r="AE3" i="10"/>
  <c r="BE3" i="26" l="1"/>
  <c r="AE3" i="7"/>
  <c r="AE3" i="14"/>
  <c r="AE3" i="9"/>
  <c r="AG2" i="10"/>
  <c r="AF3" i="10"/>
  <c r="BG3" i="26" l="1"/>
  <c r="AF3" i="14"/>
  <c r="AF3" i="9"/>
  <c r="AF3" i="7"/>
  <c r="AH2" i="10"/>
  <c r="AG3" i="10"/>
  <c r="AH3" i="10"/>
  <c r="BI3" i="26" l="1"/>
  <c r="BK3" i="26"/>
  <c r="AG3" i="9"/>
  <c r="AG3" i="14"/>
  <c r="AG3" i="7"/>
  <c r="AH3" i="9"/>
  <c r="AH3" i="14"/>
  <c r="AH3" i="7"/>
  <c r="H10" i="9" l="1"/>
  <c r="H11" i="9" s="1"/>
  <c r="D9" i="23" l="1"/>
  <c r="D4" i="23"/>
  <c r="T11" i="19"/>
  <c r="W11" i="19" s="1"/>
  <c r="AE11"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tc={DC5D42E5-CF0D-43CE-9852-68C621AEF523}</author>
    <author>tc={9975D22B-F1DD-4FB7-9836-516A08965974}</author>
    <author>tc={A1BDF21B-4B3A-4CB0-8629-114C1C91EAF0}</author>
    <author>tc={81DBAF51-6D33-4176-A2F0-568873029259}</author>
    <author>tc={D1B4F0E4-5602-428F-9D48-AE726313FCFF}</author>
    <author>tc={F1E47019-1B3C-4851-8EAF-271A3500508A}</author>
    <author>tc={96624D0E-5391-49F9-86E7-AEB419C7C06C}</author>
    <author>tc={657F893A-B299-4DB5-996C-80C1EEBC68B7}</author>
    <author>tc={8D0B95E1-2591-4129-89D1-6B9FC19A737D}</author>
    <author>tc={F97B24F5-BA9A-4C68-A9A5-92008E84502A}</author>
    <author>tc={B2562F7B-4955-4C41-92F2-6C86E2D0F9FA}</author>
    <author>tc={EE9FCCB0-9754-4AF2-8397-82938423CEF0}</author>
    <author>tc={0B6DAB96-B96C-4CF0-B4BB-DA09310C9EDA}</author>
    <author>tc={96DD9A8C-7922-4D4A-9973-636824291867}</author>
  </authors>
  <commentList>
    <comment ref="AC7" authorId="0" shapeId="0" xr:uid="{DC5D42E5-CF0D-43CE-9852-68C621AEF523}">
      <text>
        <t>[Threaded comment]
Your version of Excel allows you to read this threaded comment; however, any edits to it will get removed if the file is opened in a newer version of Excel. Learn more: https://go.microsoft.com/fwlink/?linkid=870924
Comment:
    Take into account applicable Open and Closed internal/ external findings and their Severity
Reply:
    Please also take into consideration open Self Identified Issues when assessing the Control Maturity Indicator</t>
      </text>
    </comment>
    <comment ref="AF7" authorId="1" shapeId="0" xr:uid="{9975D22B-F1DD-4FB7-9836-516A08965974}">
      <text>
        <t>[Threaded comment]
Your version of Excel allows you to read this threaded comment; however, any edits to it will get removed if the file is opened in a newer version of Excel. Learn more: https://go.microsoft.com/fwlink/?linkid=870924
Comment:
    Please make sure that your proposal for the creation or renaming of L2 needs to take into consideration that SAP SAM allows the whole name to have max 100 characters. With the Naming AU-xxx-xx- that leaves in total 89 characters for the name of the process.</t>
      </text>
    </comment>
    <comment ref="AZ7" authorId="2" shapeId="0" xr:uid="{A1BDF21B-4B3A-4CB0-8629-114C1C91EAF0}">
      <text>
        <t xml:space="preserve">[Threaded comment]
Your version of Excel allows you to read this threaded comment; however, any edits to it will get removed if the file is opened in a newer version of Excel. Learn more: https://go.microsoft.com/fwlink/?linkid=870924
Comment:
    Please make sure to update DA repository in the tab DA used cases. If you only have idea on possible application of DA but have not implemented it, you have a special tab DA ideas to populate. </t>
      </text>
    </comment>
    <comment ref="AA8" authorId="3" shapeId="0" xr:uid="{81DBAF51-6D33-4176-A2F0-568873029259}">
      <text>
        <t>[Threaded comment]
Your version of Excel allows you to read this threaded comment; however, any edits to it will get removed if the file is opened in a newer version of Excel. Learn more: https://go.microsoft.com/fwlink/?linkid=870924
Comment:
    Per definition in cell AA6, this field is used only to indicate any mandatory audit frequency defined by the regulatory requirements. You have documented properly for CSDR L2, which is a typical example to be noted in this field. Please check if any of the remaining L2s have such requirements, and remove the frequency and comment if not required.
Reply:
    Updated</t>
      </text>
    </comment>
    <comment ref="AD8" authorId="4" shapeId="0" xr:uid="{D1B4F0E4-5602-428F-9D48-AE726313FCFF}">
      <text>
        <t>[Threaded comment]
Your version of Excel allows you to read this threaded comment; however, any edits to it will get removed if the file is opened in a newer version of Excel. Learn more: https://go.microsoft.com/fwlink/?linkid=870924
Comment:
    The point related to IS framework gaps belongs to AU-109-01-Cyber &amp; IS Governance L2. Once we remove that, I am missing the justification why CMI is considered weak here.
Reply:
    Changed to Developed and IR  rating to Medium</t>
      </text>
    </comment>
    <comment ref="AF8" authorId="5" shapeId="0" xr:uid="{F1E47019-1B3C-4851-8EAF-271A3500508A}">
      <text>
        <t>[Threaded comment]
Your version of Excel allows you to read this threaded comment; however, any edits to it will get removed if the file is opened in a newer version of Excel. Learn more: https://go.microsoft.com/fwlink/?linkid=870924
Comment:
    This is much appreciated!
I suppose this is an update of the existing descriptions.
I would still make a distinction between formal AU changes (e.g. merging L2s) and L2 scope definitions. My proposal is to note in this cell that you are proposing an L2 description enhancement. Perhaps even moving the actual proposal into next cell - Comment.
Please do this for all cells below where applicable.
Reply:
    Changes made</t>
      </text>
    </comment>
    <comment ref="AY8" authorId="6" shapeId="0" xr:uid="{96624D0E-5391-49F9-86E7-AEB419C7C06C}">
      <text>
        <t>[Threaded comment]
Your version of Excel allows you to read this threaded comment; however, any edits to it will get removed if the file is opened in a newer version of Excel. Learn more: https://go.microsoft.com/fwlink/?linkid=870924
Comment:
    Please clarify - what is not in scope of this audit?
If changes made, please do the same for the items below, where applicable.
Reply:
    Updated all places</t>
      </text>
    </comment>
    <comment ref="AY9" authorId="7" shapeId="0" xr:uid="{657F893A-B299-4DB5-996C-80C1EEBC68B7}">
      <text>
        <t>[Threaded comment]
Your version of Excel allows you to read this threaded comment; however, any edits to it will get removed if the file is opened in a newer version of Excel. Learn more: https://go.microsoft.com/fwlink/?linkid=870924
Comment:
    Are you sure there are no structured data on ICT incidents?
Reply:
    Updated</t>
      </text>
    </comment>
    <comment ref="Y10" authorId="8" shapeId="0" xr:uid="{8D0B95E1-2591-4129-89D1-6B9FC19A737D}">
      <text>
        <t>[Threaded comment]
Your version of Excel allows you to read this threaded comment; however, any edits to it will get removed if the file is opened in a newer version of Excel. Learn more: https://go.microsoft.com/fwlink/?linkid=870924
Comment:
    Rather generic and not directly related to the L2 and its IR assessment. Feel free to leverage on the more detailed L2 description/scope (as proposed in AF10) to justify the High IR - why are all the points grouped in this L2 critical for DBG.
Same comment for the L2 below.
Reply:
    updated</t>
      </text>
    </comment>
    <comment ref="AF11" authorId="9" shapeId="0" xr:uid="{F97B24F5-BA9A-4C68-A9A5-92008E84502A}">
      <text>
        <t>[Threaded comment]
Your version of Excel allows you to read this threaded comment; however, any edits to it will get removed if the file is opened in a newer version of Excel. Learn more: https://go.microsoft.com/fwlink/?linkid=870924
Comment:
    “unsupported versions” - in which context?
Reply:
    removed</t>
      </text>
    </comment>
    <comment ref="AD12" authorId="10" shapeId="0" xr:uid="{B2562F7B-4955-4C41-92F2-6C86E2D0F9FA}">
      <text>
        <t>[Threaded comment]
Your version of Excel allows you to read this threaded comment; however, any edits to it will get removed if the file is opened in a newer version of Excel. Learn more: https://go.microsoft.com/fwlink/?linkid=870924
Comment:
    Just to confirm - your CMI assessment considered the open findings noted in Y12?
Reply:
    yes</t>
      </text>
    </comment>
    <comment ref="AF12" authorId="11" shapeId="0" xr:uid="{EE9FCCB0-9754-4AF2-8397-82938423CEF0}">
      <text>
        <t>[Threaded comment]
Your version of Excel allows you to read this threaded comment; however, any edits to it will get removed if the file is opened in a newer version of Excel. Learn more: https://go.microsoft.com/fwlink/?linkid=870924
Comment:
    Proposal to remove the last statement
Reply:
    Ok, removed</t>
      </text>
    </comment>
    <comment ref="W13" authorId="12" shapeId="0" xr:uid="{0B6DAB96-B96C-4CF0-B4BB-DA09310C9EDA}">
      <text>
        <t>[Threaded comment]
Your version of Excel allows you to read this threaded comment; however, any edits to it will get removed if the file is opened in a newer version of Excel. Learn more: https://go.microsoft.com/fwlink/?linkid=870924
Comment:
    For your consideration only: 
I understand that without anti-malware, encryption or SIEM, we would be the most easiest target in the world - hence the most critical IR. 
In my view, threat intelligence is ‘only’ enhancing those basic controls - but is still assessed with the same IR?
Reply:
    Revised to Medium by adjusting scores on other work tabs</t>
      </text>
    </comment>
    <comment ref="AD14" authorId="13" shapeId="0" xr:uid="{96DD9A8C-7922-4D4A-9973-636824291867}">
      <text>
        <t xml:space="preserve">[Threaded comment]
Your version of Excel allows you to read this threaded comment; however, any edits to it will get removed if the file is opened in a newer version of Excel. Learn more: https://go.microsoft.com/fwlink/?linkid=870924
Comment:
    Question: from above L2s, should we conclude Develop or weak  / undefined because high dependency on the AMELI findings? In the end, we still have a yearly requirement but this is more to have a consistent approach
Reply:
    Discussed with Gil and Daniel, this L2 should not be applicable here and can be removed.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tc={B3FD0F06-2A9D-41BF-B21A-209E72455C5C}</author>
    <author>tc={18FABE9B-CEED-48CC-9D80-56853B7C4D38}</author>
    <author>tc={2AF20756-6EB3-4D43-8B1D-3001AB64C1EE}</author>
    <author>tc={24C02308-7228-479F-B1BD-E2DD201ABCE0}</author>
  </authors>
  <commentList>
    <comment ref="K3" authorId="0" shapeId="0" xr:uid="{B3FD0F06-2A9D-41BF-B21A-209E72455C5C}">
      <text>
        <t>[Threaded comment]
Your version of Excel allows you to read this threaded comment; however, any edits to it will get removed if the file is opened in a newer version of Excel. Learn more: https://go.microsoft.com/fwlink/?linkid=870924
Comment:
    General comment on how was assessed the CSDR here as this seems to be inconsistent : 
- is it the highest risk of one of the underlying process?
- is it independently assessed?
The annual periodicity should not be the trigger for a score 3 (as this was mentioned in the IS risk assessment).
Reply:
    Discussed with Gil and Daniel, this L2 should not be applicable here and can be removed. Put N/A therefore here</t>
      </text>
    </comment>
    <comment ref="J5" authorId="1" shapeId="0" xr:uid="{18FABE9B-CEED-48CC-9D80-56853B7C4D38}">
      <text>
        <t>[Threaded comment]
Your version of Excel allows you to read this threaded comment; however, any edits to it will get removed if the file is opened in a newer version of Excel. Learn more: https://go.microsoft.com/fwlink/?linkid=870924
Comment:
    Could be downgraded to 2. Although TI domain deals with sensitive data, only a portion of it could be classified as highly sensitive. A significant portion of TI gathering is also news available in public domain.
Reply:
    Agree, downgraded to 2</t>
      </text>
    </comment>
    <comment ref="F7" authorId="2" shapeId="0" xr:uid="{2AF20756-6EB3-4D43-8B1D-3001AB64C1EE}">
      <text>
        <t>[Threaded comment]
Your version of Excel allows you to read this threaded comment; however, any edits to it will get removed if the file is opened in a newer version of Excel. Learn more: https://go.microsoft.com/fwlink/?linkid=870924
Comment:
    Incident management is largely manual action, although supported by documentation systems
Reply:
    Updated to 3. No change on cumulative rating bellow - cell F11</t>
      </text>
    </comment>
    <comment ref="F15" authorId="3" shapeId="0" xr:uid="{24C02308-7228-479F-B1BD-E2DD201ABCE0}">
      <text>
        <t>[Threaded comment]
Your version of Excel allows you to read this threaded comment; however, any edits to it will get removed if the file is opened in a newer version of Excel. Learn more: https://go.microsoft.com/fwlink/?linkid=870924
Comment:
    The last result for IS inc mng
Reply:
    updated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tc={579BAA0B-C547-45BB-BF00-518C4CC2A176}</author>
    <author>tc={E829237A-05BA-4C7B-B956-B39CAE6873DB}</author>
    <author>tc={08597BD9-351C-4E18-8C50-7DE33157E30E}</author>
    <author>tc={314B37AA-A979-4851-B16B-92D64BA944A4}</author>
    <author>tc={AE586A5E-F46D-4981-8F96-C867ADDC494C}</author>
    <author>tc={B2E552D5-583F-45AA-927F-610785EDD17A}</author>
    <author>tc={0D008715-2841-4BB0-A5F9-0EF7E3042E6C}</author>
    <author>tc={7FDEA3EE-EFD9-478C-A12C-77C02EED7523}</author>
  </authors>
  <commentList>
    <comment ref="F5" authorId="0" shapeId="0" xr:uid="{579BAA0B-C547-45BB-BF00-518C4CC2A176}">
      <text>
        <t>[Threaded comment]
Your version of Excel allows you to read this threaded comment; however, any edits to it will get removed if the file is opened in a newer version of Excel. Learn more: https://go.microsoft.com/fwlink/?linkid=870924
Comment:
    Significant changes for Ameli and DORA, e.g. migration of SIEM (also affects the columns to the right)
Reply:
    Updated to 3. No change on cumulative rating bellow - cell F103</t>
      </text>
    </comment>
    <comment ref="K5" authorId="1" shapeId="0" xr:uid="{E829237A-05BA-4C7B-B956-B39CAE6873DB}">
      <text>
        <t>[Threaded comment]
Your version of Excel allows you to read this threaded comment; however, any edits to it will get removed if the file is opened in a newer version of Excel. Learn more: https://go.microsoft.com/fwlink/?linkid=870924
Comment:
    Why 3 here but not elsewhere?
Reply:
    Updated to 2. No change on cumulative rating bellow - cell K10
Reply:
    Discussed with Gil and Daniel, this L2 should not be applicable here and can be removed. Put N/A therefore here</t>
      </text>
    </comment>
    <comment ref="J6" authorId="2" shapeId="0" xr:uid="{08597BD9-351C-4E18-8C50-7DE33157E30E}">
      <text>
        <t>[Threaded comment]
Your version of Excel allows you to read this threaded comment; however, any edits to it will get removed if the file is opened in a newer version of Excel. Learn more: https://go.microsoft.com/fwlink/?linkid=870924
Comment:
    For your consideration only: 
In my view, this L2 is mostly about gathering intelligence but no real stakeholders outside DBG.
Reply:
    updated</t>
      </text>
    </comment>
    <comment ref="G8" authorId="3" shapeId="0" xr:uid="{314B37AA-A979-4851-B16B-92D64BA944A4}">
      <text>
        <t>[Threaded comment]
Your version of Excel allows you to read this threaded comment; however, any edits to it will get removed if the file is opened in a newer version of Excel. Learn more: https://go.microsoft.com/fwlink/?linkid=870924
Comment:
    Why not 3? Seems inconsistent with the 3’s above as this is the core of Cybersec
Reply:
    Updated to 3. No change on cumulative rating bellow - cell G10</t>
      </text>
    </comment>
    <comment ref="H8" authorId="4" shapeId="0" xr:uid="{AE586A5E-F46D-4981-8F96-C867ADDC494C}">
      <text>
        <t>[Threaded comment]
Your version of Excel allows you to read this threaded comment; however, any edits to it will get removed if the file is opened in a newer version of Excel. Learn more: https://go.microsoft.com/fwlink/?linkid=870924
Comment:
    Why not 3? Seems inconsistent with the 3’s above as this is the core of Cybersec
Reply:
    Updated to 3. No change on cumulative rating bellow - cell H10</t>
      </text>
    </comment>
    <comment ref="I8" authorId="5" shapeId="0" xr:uid="{B2E552D5-583F-45AA-927F-610785EDD17A}">
      <text>
        <t>[Threaded comment]
Your version of Excel allows you to read this threaded comment; however, any edits to it will get removed if the file is opened in a newer version of Excel. Learn more: https://go.microsoft.com/fwlink/?linkid=870924
Comment:
    For your consideration only: 
I don’t see 2LoD controls as the most critical component in ensuring the basic level of IS controls.
Reply:
    Updated to 2</t>
      </text>
    </comment>
    <comment ref="K14" authorId="6" shapeId="0" xr:uid="{0D008715-2841-4BB0-A5F9-0EF7E3042E6C}">
      <text>
        <t>[Threaded comment]
Your version of Excel allows you to read this threaded comment; however, any edits to it will get removed if the file is opened in a newer version of Excel. Learn more: https://go.microsoft.com/fwlink/?linkid=870924
Comment:
    What is the assessment from previous audit?
Reply:
    updated</t>
      </text>
    </comment>
    <comment ref="E15" authorId="7" shapeId="0" xr:uid="{7FDEA3EE-EFD9-478C-A12C-77C02EED7523}">
      <text>
        <t>[Threaded comment]
Your version of Excel allows you to read this threaded comment; however, any edits to it will get removed if the file is opened in a newer version of Excel. Learn more: https://go.microsoft.com/fwlink/?linkid=870924
Comment:
    Would still be useful to understand what changed. Is it just us applying a more severe/conservative outlook to the processes’ inherent risks? Or have we amended some of our individual ratings due to changes in the processes’ conditions/requirements, this driving the rating lower than it previously was?
Reply:
    updated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tc={3D1A8FB0-DBB3-41C9-B58F-BAD3CF96B1E0}</author>
    <author>tc={CFDEA501-85D7-44ED-8D43-85D9E61641A5}</author>
    <author>tc={A458DF87-E866-4F20-8B3D-3D65C6BB24FE}</author>
    <author>tc={BE11CD07-F17B-4313-ABF3-95BC27F46F94}</author>
    <author>tc={209F544A-60E7-487E-A9C7-D83486C0BD4A}</author>
    <author>tc={27F2AC0A-4E51-49C0-9EE6-8C9A0811CCEE}</author>
    <author>tc={5D7BA989-D19A-4EB9-887B-C089E6C82DF8}</author>
    <author>tc={4B14AD90-8645-4B8A-9238-E1A4B64A9D13}</author>
    <author>tc={BFC0069B-3887-4536-BAD8-AF82CE870BC0}</author>
    <author>tc={C6E34A00-2E75-49B6-A081-B7E88D68B337}</author>
  </authors>
  <commentList>
    <comment ref="K3" authorId="0" shapeId="0" xr:uid="{3D1A8FB0-DBB3-41C9-B58F-BAD3CF96B1E0}">
      <text>
        <t>[Threaded comment]
Your version of Excel allows you to read this threaded comment; however, any edits to it will get removed if the file is opened in a newer version of Excel. Learn more: https://go.microsoft.com/fwlink/?linkid=870924
Comment:
    The regulatory defined frequency should not drive the inherent risk assessment - default 3 in this column is not reasonable
Reply:
    Discussed with Gil and Daniel, this L2 should not be applicable here and can be removed. Put N/A therefore here</t>
      </text>
    </comment>
    <comment ref="J5" authorId="1" shapeId="0" xr:uid="{CFDEA501-85D7-44ED-8D43-85D9E61641A5}">
      <text>
        <t>[Threaded comment]
Your version of Excel allows you to read this threaded comment; however, any edits to it will get removed if the file is opened in a newer version of Excel. Learn more: https://go.microsoft.com/fwlink/?linkid=870924
Comment:
    The question here is - how far is the L2 (e.g. Threat Intelligence or even Cyber Prevention) under the impact of a potential external fraud? Usually, it’s the business processes that are targeted.
I could think of a fraud scenario that external threat actors could poison the databases that feed into our TI systems and thereby somehow create a gap that we loose focus on a specific type of attack that the threat actors plans to do. Considering that this still cannot invalidate our key IS controls for prevention and detection, and the uncertainty with such exercise, I seriously doubt that this is a viable scenario. 
Keeping the focus on “which process would external fraudster target”, please reevaluate the assessment, also for prevention and detection L2s.
Reply:
    Updated</t>
      </text>
    </comment>
    <comment ref="K5" authorId="2" shapeId="0" xr:uid="{A458DF87-E866-4F20-8B3D-3D65C6BB24FE}">
      <text>
        <t>[Threaded comment]
Your version of Excel allows you to read this threaded comment; however, any edits to it will get removed if the file is opened in a newer version of Excel. Learn more: https://go.microsoft.com/fwlink/?linkid=870924
Comment:
    Not sure I understand the logic compared to Internal fraud incentive. 
In internal fraud incentive, you assessed 1 and here, you assessed as 3
Reply:
    Discussed with Gil and Daniel, this L2 should not be applicable here and can be removed. Put N/A therefore here</t>
      </text>
    </comment>
    <comment ref="J6" authorId="3" shapeId="0" xr:uid="{BE11CD07-F17B-4313-ABF3-95BC27F46F94}">
      <text>
        <t xml:space="preserve">[Threaded comment]
Your version of Excel allows you to read this threaded comment; however, any edits to it will get removed if the file is opened in a newer version of Excel. Learn more: https://go.microsoft.com/fwlink/?linkid=870924
Comment:
    Do you have any info that regulator had audited or will audit this process in DBG?
Reply:
    Yes, CSSF </t>
      </text>
    </comment>
    <comment ref="F7" authorId="4" shapeId="0" xr:uid="{209F544A-60E7-487E-A9C7-D83486C0BD4A}">
      <text>
        <t>[Threaded comment]
Your version of Excel allows you to read this threaded comment; however, any edits to it will get removed if the file is opened in a newer version of Excel. Learn more: https://go.microsoft.com/fwlink/?linkid=870924
Comment:
    Is the SOC in here? - then dependency on Accenture 
Reply:
    Updated to 3. No change on cumulative rating bellow - cell F11</t>
      </text>
    </comment>
    <comment ref="G9" authorId="5" shapeId="0" xr:uid="{27F2AC0A-4E51-49C0-9EE6-8C9A0811CCEE}">
      <text>
        <t>[Threaded comment]
Your version of Excel allows you to read this threaded comment; however, any edits to it will get removed if the file is opened in a newer version of Excel. Learn more: https://go.microsoft.com/fwlink/?linkid=870924
Comment:
    Is this because of some key man risk?
Otherwise, all infrastructure should be available on secondary site/cloud?
Same question for Detection and Threat Intelligence L2s.
Reply:
    Updated to 2</t>
      </text>
    </comment>
    <comment ref="H9" authorId="6" shapeId="0" xr:uid="{5D7BA989-D19A-4EB9-887B-C089E6C82DF8}">
      <text>
        <t>[Threaded comment]
Your version of Excel allows you to read this threaded comment; however, any edits to it will get removed if the file is opened in a newer version of Excel. Learn more: https://go.microsoft.com/fwlink/?linkid=870924
Comment:
    Is this because of some key man risk?
Otherwise, all infrastructure should be available on secondary site/cloud?
Same question for Detection and Threat Intelligence L2s.
Reply:
    Updated to 2</t>
      </text>
    </comment>
    <comment ref="J9" authorId="7" shapeId="0" xr:uid="{4B14AD90-8645-4B8A-9238-E1A4B64A9D13}">
      <text>
        <t>[Threaded comment]
Your version of Excel allows you to read this threaded comment; however, any edits to it will get removed if the file is opened in a newer version of Excel. Learn more: https://go.microsoft.com/fwlink/?linkid=870924
Comment:
    Is this because of some key man risk?
Otherwise, all infrastructure should be available on secondary site/cloud?
Same question for Detection and Threat Intelligence L2s.
Reply:
    Updated to 2</t>
      </text>
    </comment>
    <comment ref="K9" authorId="8" shapeId="0" xr:uid="{BFC0069B-3887-4536-BAD8-AF82CE870BC0}">
      <text>
        <t xml:space="preserve">[Threaded comment]
Your version of Excel allows you to read this threaded comment; however, any edits to it will get removed if the file is opened in a newer version of Excel. Learn more: https://go.microsoft.com/fwlink/?linkid=870924
Comment:
    why 3 only for CSDR?
Reply:
    Discussed with Gil and Daniel, this L2 should not be applicable here and can be removed. Put N/A therefore here
</t>
      </text>
    </comment>
    <comment ref="J16" authorId="9" shapeId="0" xr:uid="{C6E34A00-2E75-49B6-A081-B7E88D68B337}">
      <text>
        <t>[Threaded comment]
Your version of Excel allows you to read this threaded comment; however, any edits to it will get removed if the file is opened in a newer version of Excel. Learn more: https://go.microsoft.com/fwlink/?linkid=870924
Comment:
    Check the wording
Reply:
    updated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tc={EAE64FB3-8C1C-4662-8EA2-F0AD9031EBAD}</author>
    <author>tc={2F1D985B-BE3A-4C71-9D8A-D678B9AD993A}</author>
    <author>tc={B3814CC1-2646-471F-AE47-F695595D2673}</author>
    <author>tc={646A7B22-5775-4935-9E7E-B60CD89B2078}</author>
    <author>tc={041077EF-B1D8-47A3-BF59-5037520DF25E}</author>
    <author>tc={EE968217-2A18-41FC-BEB2-526CC5080267}</author>
    <author>tc={E3C4C2E6-F1A2-492A-8AAA-573A07FB7BB0}</author>
  </authors>
  <commentList>
    <comment ref="G5" authorId="0" shapeId="0" xr:uid="{EAE64FB3-8C1C-4662-8EA2-F0AD9031EBAD}">
      <text>
        <t>[Threaded comment]
Your version of Excel allows you to read this threaded comment; however, any edits to it will get removed if the file is opened in a newer version of Excel. Learn more: https://go.microsoft.com/fwlink/?linkid=870924
Comment:
    N/A should not be used for any of the 3 criterias.
Please check the rest of this sheet.
Reply:
    Updated</t>
      </text>
    </comment>
    <comment ref="J5" authorId="1" shapeId="0" xr:uid="{2F1D985B-BE3A-4C71-9D8A-D678B9AD993A}">
      <text>
        <t>[Threaded comment]
Your version of Excel allows you to read this threaded comment; however, any edits to it will get removed if the file is opened in a newer version of Excel. Learn more: https://go.microsoft.com/fwlink/?linkid=870924
Comment:
    This evaluation does not rely only on the raised findings therefore the comment leads to a conclusion that only existing findings are considered. Since we are assessing the Inherent Risk here, the focus is on “the potential” to have severe findings, with DATA as the driving factor. E.g. - how critical (C-I-Authenticity) is the data inside applications used for Prevention process?
Please check the comment wording for Detection and Threat Intelligence L2
Reply:
    updated</t>
      </text>
    </comment>
    <comment ref="R5" authorId="2" shapeId="0" xr:uid="{B3814CC1-2646-471F-AE47-F695595D2673}">
      <text>
        <t xml:space="preserve">[Threaded comment]
Your version of Excel allows you to read this threaded comment; however, any edits to it will get removed if the file is opened in a newer version of Excel. Learn more: https://go.microsoft.com/fwlink/?linkid=870924
Comment:
    The regulatory requirement should not be mixed with the inherent risk view here
Reply:
    Discussed with Gil and Daniel, this L2 should not be applicable here and can be removed. Put N/A </t>
      </text>
    </comment>
    <comment ref="F6" authorId="3" shapeId="0" xr:uid="{646A7B22-5775-4935-9E7E-B60CD89B2078}">
      <text>
        <t>[Threaded comment]
Your version of Excel allows you to read this threaded comment; however, any edits to it will get removed if the file is opened in a newer version of Excel. Learn more: https://go.microsoft.com/fwlink/?linkid=870924
Comment:
    Would it be fair to also add - and no IDPs identified during the audit.
Reply:
    Included now
Reply:
    Just to be sure. What do you mean by not in scope of this audit? In 2 cases, you mentioned "L2 not in scope of the audit" and for the rest "not in scope of this audit" 
Reply:
    Updated - in all areas</t>
      </text>
    </comment>
    <comment ref="J7" authorId="4" shapeId="0" xr:uid="{041077EF-B1D8-47A3-BF59-5037520DF25E}">
      <text>
        <t>[Threaded comment]
Your version of Excel allows you to read this threaded comment; however, any edits to it will get removed if the file is opened in a newer version of Excel. Learn more: https://go.microsoft.com/fwlink/?linkid=870924
Comment:
    Reads like the evaluation was driven by the control gaps. Here we should evaluate any additional information that was revealed by management during the audit, which can affect IA assessment of the inherent risk.
Same for 2LoD and Threat Intelligence L2s.
Reply:
    Updated</t>
      </text>
    </comment>
    <comment ref="R7" authorId="5" shapeId="0" xr:uid="{EE968217-2A18-41FC-BEB2-526CC5080267}">
      <text>
        <t xml:space="preserve">[Threaded comment]
Your version of Excel allows you to read this threaded comment; however, any edits to it will get removed if the file is opened in a newer version of Excel. Learn more: https://go.microsoft.com/fwlink/?linkid=870924
Comment:
    We should separate the annual regulatory requirement from the risk assessment. 
Reply:
    Discussed with Gil and Daniel, this L2 should not be applicable here and can be removed. Put N/A therefore here
</t>
      </text>
    </comment>
    <comment ref="E14" authorId="6" shapeId="0" xr:uid="{E3C4C2E6-F1A2-492A-8AAA-573A07FB7BB0}">
      <text>
        <t>[Threaded comment]
Your version of Excel allows you to read this threaded comment; however, any edits to it will get removed if the file is opened in a newer version of Excel. Learn more: https://go.microsoft.com/fwlink/?linkid=870924
Comment:
    Please check wording - only focus on inherent risk, not CMI.
Reply:
    updated</t>
      </text>
    </comment>
  </commentList>
</comments>
</file>

<file path=xl/sharedStrings.xml><?xml version="1.0" encoding="utf-8"?>
<sst xmlns="http://schemas.openxmlformats.org/spreadsheetml/2006/main" count="668" uniqueCount="234">
  <si>
    <t>Assessment of Criteria</t>
  </si>
  <si>
    <t>Value for Average Calculation</t>
  </si>
  <si>
    <t>Explanation</t>
  </si>
  <si>
    <t>High</t>
  </si>
  <si>
    <t>Significant/Critical</t>
  </si>
  <si>
    <t>Medium</t>
  </si>
  <si>
    <t>Major</t>
  </si>
  <si>
    <t>Low</t>
  </si>
  <si>
    <t>Minor</t>
  </si>
  <si>
    <t>n/a</t>
  </si>
  <si>
    <t>No information available, not assessed, therefore no influence on the average calculation. Rationale is obligatory.</t>
  </si>
  <si>
    <t>Audit Conclusion</t>
  </si>
  <si>
    <t>Audit No.</t>
  </si>
  <si>
    <t>2025-045 Cyber and Information Security</t>
  </si>
  <si>
    <t>IT applications list in golden source needs to be updated AS well</t>
  </si>
  <si>
    <t>DA repository</t>
  </si>
  <si>
    <t>Audit Universe</t>
  </si>
  <si>
    <t>Applicable Legal Entity (Please define all Legal Entities in scope of the audit)</t>
  </si>
  <si>
    <r>
      <rPr>
        <b/>
        <sz val="12"/>
        <color rgb="FFFFFFFF"/>
        <rFont val="Arial"/>
        <family val="2"/>
      </rPr>
      <t xml:space="preserve">Inherent Risk Assessment OpRisk
</t>
    </r>
    <r>
      <rPr>
        <sz val="11"/>
        <color rgb="FFFFFFFF"/>
        <rFont val="Arial"/>
        <family val="2"/>
      </rPr>
      <t>cells filled through risk assessment tabs</t>
    </r>
  </si>
  <si>
    <t xml:space="preserve">Final Inherent Risk after the performed audit </t>
  </si>
  <si>
    <t>Regulatory required audit frequency</t>
  </si>
  <si>
    <t>Suggested CMI</t>
  </si>
  <si>
    <t>Residual Risk</t>
  </si>
  <si>
    <t xml:space="preserve"> Proposed changes to RCA or Audit Universe after the audit</t>
  </si>
  <si>
    <t>Mapping of relevant L2 to ICS processes</t>
  </si>
  <si>
    <t>Relevant IT Applications of L2</t>
  </si>
  <si>
    <t>Data Analytics</t>
  </si>
  <si>
    <t>(Put whole name of the audit object: 
AU-XXX-XXX-Name of the process)</t>
  </si>
  <si>
    <t>Please indicate below for which legal entity the information and assessment is relevant for.</t>
  </si>
  <si>
    <t>All assigned scores are ordinally in relation to the other L2 processes within the audit universe. The scores are purely IA Judgement.</t>
  </si>
  <si>
    <t>Final Inherent value is the maximum value of the assessed risk categories and can be High, Medium or Low</t>
  </si>
  <si>
    <t>Please only indicate if and what regulation detail is driving audit frequency of L2.
Also precise if LE specificities and LE without regulatory requirements</t>
  </si>
  <si>
    <t>Considering audit testing and results, and SIIs, how would you rate the control maturity of the L2 process (Weak/undefined, Developed, Strong/Robust). Please indicate decision for suggested CMI</t>
  </si>
  <si>
    <t xml:space="preserve">Residual Risk (RR) is automatically calculated by applying CMI to the final Inherent Risk (IR). </t>
  </si>
  <si>
    <t>E.g. L2 name change, L2 split, consolidation, new L2
Amended test approach, controls, risks, further. 
Please indicate reason for proposed changes.  Maximum number of characters for the process name is 89.</t>
  </si>
  <si>
    <t>Please indicate ICS process landscape reference. Please indicate if mapping is complete/partial/spread over multiple ICS processes. If multiple, list the ICS processes with "/" as separator</t>
  </si>
  <si>
    <t>Please indicate the application code from APMS (like RTS (AID024))</t>
  </si>
  <si>
    <t>Please indicate the eligibility of the L2 process for data analytics with respective rationale. If eligible, please fill in the DA repository and input the reference to specific repository line/test</t>
  </si>
  <si>
    <t>L0 Process Area</t>
  </si>
  <si>
    <t>AO ID</t>
  </si>
  <si>
    <t>L2 Process  
(AU-XXX-XXX-Process name)</t>
  </si>
  <si>
    <t>DBAG</t>
  </si>
  <si>
    <t>ExR</t>
  </si>
  <si>
    <t>EFAG</t>
  </si>
  <si>
    <t>ECAG</t>
  </si>
  <si>
    <t>CBF</t>
  </si>
  <si>
    <t>CH</t>
  </si>
  <si>
    <t>CBL</t>
  </si>
  <si>
    <t>LuxCSD</t>
  </si>
  <si>
    <t>CS</t>
  </si>
  <si>
    <t>CI</t>
  </si>
  <si>
    <t>CFCL</t>
  </si>
  <si>
    <t>Internal People &amp; Staff</t>
  </si>
  <si>
    <t>Processes</t>
  </si>
  <si>
    <t>Internal Systems</t>
  </si>
  <si>
    <t>External</t>
  </si>
  <si>
    <t>IS Risk assessment</t>
  </si>
  <si>
    <t xml:space="preserve">Final Inherent risk </t>
  </si>
  <si>
    <t>Comment (Mandatory comment for the justification of the all inhernet risk assessment, specify if there is anything specific)</t>
  </si>
  <si>
    <t>Frequency</t>
  </si>
  <si>
    <t>Comment</t>
  </si>
  <si>
    <t>CMI</t>
  </si>
  <si>
    <t>Residual risk</t>
  </si>
  <si>
    <t>Changes to RCA/AU</t>
  </si>
  <si>
    <t>Mapping L2 to ICS</t>
  </si>
  <si>
    <t xml:space="preserve">MISP (AID737) </t>
  </si>
  <si>
    <t>PKI DBAG (AID1064)</t>
  </si>
  <si>
    <t>PKI MSCA (AID1065)</t>
  </si>
  <si>
    <t>PKI Clearstream (AID1066)</t>
  </si>
  <si>
    <t>Gpg4Win (AID591)</t>
  </si>
  <si>
    <t>CrowdStrike Falcon Complete (AID2131)</t>
  </si>
  <si>
    <t>PA CNAPP (AID2146)</t>
  </si>
  <si>
    <t>RPE (AID953)</t>
  </si>
  <si>
    <t>Rapid7 Nexpose (AID986)</t>
  </si>
  <si>
    <t>VMT &amp; Risk Register (AID430)</t>
  </si>
  <si>
    <t>Dataminr(to be added to APMS)</t>
  </si>
  <si>
    <t>IT applications list in Golden Source is updated</t>
  </si>
  <si>
    <t>Applied DA (yes/no)
Validation field with "Yes" or "No"</t>
  </si>
  <si>
    <t>Rationale if not eligible</t>
  </si>
  <si>
    <t>DA repository reference</t>
  </si>
  <si>
    <t>Support</t>
  </si>
  <si>
    <t xml:space="preserve">AU-109-02-Cyber &amp; IS Strategy and Design </t>
  </si>
  <si>
    <t>X</t>
  </si>
  <si>
    <t>Cyber and Information Security protects an organisation's information assets from unauthorised users, disruption, alteration, or destruction, and strengthens the overall control environment to reduce risk. Cyberattacks can lead to direct and indirect impacts that are often significant, as computers, networks, programs, data, and sensitive information are critical components of an organisation. Since organisations rely heavily on information technology resources, having a clearly defined cyber and information security plan, objectives, inherent risks, and effective controls should be a priority for management</t>
  </si>
  <si>
    <t>No explicit regulatory requirements</t>
  </si>
  <si>
    <t>Developed</t>
  </si>
  <si>
    <t>Regarding the Process, it is demonstrated to be mature in the past and this year, too. No significant raised in the past.</t>
  </si>
  <si>
    <t>L2 description enhancement</t>
  </si>
  <si>
    <t>Possible topics to be covered in audit object AU-109-02-Cyber &amp; IS Strategy and Design (proposed change of scope):
Cyber &amp; IS strategy, Resilience Strategy,  baseline security configuration &amp; security changes, security in depth, IS assessments regarding threat intelligence/threatlandscape), 
End user awareness regarding private communication channels such as Whatsapp (e.g. acceptable use policy, social media policy), Social Engineering and targeted personal approach (e.g. spear-fishing, social engineering), use of unapproved and not registered internet services such as miro.com</t>
  </si>
  <si>
    <t>&gt;&gt;&gt;&gt;&gt; P_DBAG_CT_9.2_IS Governance
&gt;&gt;&gt;&gt;&gt; P_DBAG_SU_11_Info Security 1stLoD (2023)
&gt;&gt;&gt;&gt; P_DBAG_CT_9_Information Security 2nd LoD
&gt;&gt;&gt;&gt;&gt; P_DBAG_SU_13.6_Technical Security
&gt;&gt;&gt;&gt;&gt;&gt; P_DBAG_SU_11.3_Solution Security Mgmt
&gt;&gt;&gt;&gt;P_DBAG_SU_11.4_IS Risk Management
&gt;&gt;&gt;&gt;P_DBAG_SU_11.1_GS Management &amp; Reporting</t>
  </si>
  <si>
    <t>No changes</t>
  </si>
  <si>
    <t>Yes</t>
  </si>
  <si>
    <t>No</t>
  </si>
  <si>
    <t>The process does not have any structured data</t>
  </si>
  <si>
    <t>N/A</t>
  </si>
  <si>
    <t>AU-109-08-ICT Incident Management</t>
  </si>
  <si>
    <t>Included possible topics: Information Security incident management incl. Link to crisis management. Based on the IA agile methodology and risk-based approach and in the light of aforementioned information from BCA, IA deemed that there was no risk to be assessed and no test procedures to be carried out in the scope of the 2025-045 Cyber and Information Security audit for this L2. The decision was discussed with the HoIAs at the audit initiation panel.</t>
  </si>
  <si>
    <t>As per BCA, L2 was not assessed in Cyber IS audit and current rating is as per the test coverage of this L2 on adhoc basis to check for DORA requiremenbts in the 2025-001 IT Operations Management Audit (AC does not cover the L2). Standard Incident Management process is followed across DBG as observed in the 2025-001 IT Operations Management , L2 controls are the same. These have been shown as mature in the past and this year, too. No significant raised in the past.</t>
  </si>
  <si>
    <t>L2 was not in scope of this audit. 
The process may have structured data and should be looked into in next regular audit</t>
  </si>
  <si>
    <t>AU-109-09-Cyber &amp; IS Prevention</t>
  </si>
  <si>
    <t>All points grouped in this L2 are critical for DBG and so IR is High. AU-109-09-Cyber &amp; IS Prevention - with possible topics: Cryptography and PKI, Continuous Threat Detection &amp; Response: including TVM and xIPS/xIDS, Nation State Attack (the börse as a function), Supply Chain Attack, Anti-Malware, Ransomware protection, Endpoint protection, Data Leakage prevention (DLP), including prevention, web upload DLP and email DLP, Patch Management (security/ functional), outdated versions/ unsupported systems</t>
  </si>
  <si>
    <t>Weak/undefined</t>
  </si>
  <si>
    <t>This L2 includes multiple L3s, and at least some of them had significant remediation efforts underway through 2025 in the DORA and AMELI programs. 
This audit focused on areas not directly targeted by the AMELI and DORA programs: L3s being - cryptography and key management, continuous threat detection and response, threat-led penetration testing (TLPT), and threat intelligence. IA identified weaknesses observed in  vulnerability management procedures, cryptography and key management underscoring the impact of operational guidance on control effectiveness.</t>
  </si>
  <si>
    <t>AU-109-09-Cyber &amp; IS Prevention - with possible topics: Cryptography and PKI, Continuous Threat Detection &amp; Response: including TVM and xIPS/xIDS, Nation State Attack (the börse as a function), Supply Chain Attack, Anti-Malware, Ransomware protection, Endpoint protection, Data Leakage prevention (DLP), including prevention, web upload DLP and email DLP, Patch Management (security/ functional), outdated versions/ unsupported systems</t>
  </si>
  <si>
    <t>&gt;&gt;&gt;&gt; P_DBAG_SU_11.6_Cyber Protection Management
&gt;&gt;&gt;&gt;P_DBAG_SU_11.5_Cyber Defense Management
&gt;&gt;&gt;&gt;P_DBAG_SU_11.1_GS Management &amp; Reporting
&gt;&gt;&gt;&gt;&gt;&gt;&gt; SP_DBAG_SU_11.6.1022_Security Information and Event Management (SIEM)
&gt;&gt;&gt;&gt;&gt;&gt;&gt; SP_DBAG_SU_11.4.1019_Supplier Security Consultancy
&gt;&gt;&gt;&gt;&gt;&gt;&gt; SP_DBAG_SU_11.5.6046_Security Event Tracking
&gt;&gt;&gt;&gt;&gt;&gt;&gt; SP_DBAG_SU_11.4.4070_Manage Security Risks</t>
  </si>
  <si>
    <t>DA test performed during the audit.</t>
  </si>
  <si>
    <t>AU-109-10-Cyber &amp; IS Detection</t>
  </si>
  <si>
    <t>All points grouped in this L2 are critical for DBG and so IR is High. AU-109-10-Cyber &amp; IS Detection - with possible topics: Security event monitoring, security state monitoring, IS Forensics, unsupported versions, PenTest, APT, Cloud Platform &amp; Workload Security, DevSecOps, SOC, CERT, SIEM</t>
  </si>
  <si>
    <t xml:space="preserve">This L2 includes multiple L3s, and had significant remediation efforts underway through 2025 in the DORA and AMELI programs. </t>
  </si>
  <si>
    <t>AU-109-10-Cyber &amp; IS Detection - with possible topics: Security event monitoring, security state monitoring, IS Forensics, PenTest, APT, Cloud Platform &amp; Workload Security, DevSecOps, SOC, CERT, SIEM</t>
  </si>
  <si>
    <t>No DA test could be identified during the audit.</t>
  </si>
  <si>
    <t>AU-109-11-Cyber &amp; IS Control functions (2LoD)</t>
  </si>
  <si>
    <t>As per BCA, no tests were planned for this L2, considering open S3/S2 findings from 2024-063 Technology Governance Audit.</t>
  </si>
  <si>
    <t>No tests were planned for this L2, considering open S3/S2 findings from 2024-063 Technology Governance Audit. The CAP milestones supported by recent evidence looks ok to mark as developed.</t>
  </si>
  <si>
    <t>AU-109-11-Cyber &amp; IS Control functions (2LoD) - with possible topics: e.g., 2LoD compliance (LE), CISO, IS assurance</t>
  </si>
  <si>
    <t>&gt;&gt;&gt;&gt; P_DBAG_CT_9_Information Security 2nd LoD
&gt;&gt;&gt;&gt;P_DBAG_SU_11.2_IS Governance and Compl</t>
  </si>
  <si>
    <t>L2 was not in scope of this audit. The process does not have any structured data</t>
  </si>
  <si>
    <t>AU-109-12-Threat Intelligence</t>
  </si>
  <si>
    <t xml:space="preserve">The process is safeguarding DBG from cyber and geopolitical threats (including Travel Security), thereby ensuring a timely response to incidents and crisis. Responsible for monitoring and comprehending the rapidly changing Cyber and Geopolitical threat landscape. Through a collaborative intelligence approach, they collect, analyse data and provide real-time threat indicators across the organization, with the goal of improving Deutsche Börse’s overall security posture. </t>
  </si>
  <si>
    <t xml:space="preserve">Two low severity findings were identified regarding missing SoD principles for an application and another, missing application in APMS </t>
  </si>
  <si>
    <t xml:space="preserve">The threat intelligence is gathered on following points: Cyber Threat Intelligence, Geopolitical (including Travel Security), Physical Threat Intelligence (related to office buildings, postal, emergency services, etc.)
</t>
  </si>
  <si>
    <t>AU-121-04-CSDR Cyber &amp; IS</t>
  </si>
  <si>
    <t xml:space="preserve">Under CSDR (Central Securities Depositories Regulation), relevant IT L2 (AU-121-04) impacting CSD core services need to be tested once in a year. Applicable only to CBF and CBL legal entities (incl. LuxCSD). The scope of this L2 will have specific focus on Cyber and Information Security activities with attention on Core CSD applications. </t>
  </si>
  <si>
    <t>1Y</t>
  </si>
  <si>
    <t>To be removed, should not be applicable here</t>
  </si>
  <si>
    <t>Should be removed based on IT deputy discussion</t>
  </si>
  <si>
    <t>All of the above</t>
  </si>
  <si>
    <t>Risk Assessment for Risk Category Internal People &amp; Staff</t>
  </si>
  <si>
    <t>Explanation and Guidance</t>
  </si>
  <si>
    <t>Criteria for inherent risk</t>
  </si>
  <si>
    <t>Score</t>
  </si>
  <si>
    <t>Internal Fraud incentives</t>
  </si>
  <si>
    <t xml:space="preserve"> High - Regular exposure to sensitive data and (financial) transactions
Medium - Occasional exposure to sensitive data and transactions
Low - Negligible exposure
N/A is not used for this criteria</t>
  </si>
  <si>
    <t>Audited area performs daily payments transactions or has access to sensitive data with the possibility of involved employees to enrich themselves, spread confidential information or falsify transactions.</t>
  </si>
  <si>
    <t>Required level of qualification</t>
  </si>
  <si>
    <t xml:space="preserve"> 
High - highly specialized skillset needed to execute the process; low availability on the market; difficult replacement process with high recruiting costs involved
Medium - sufficient availability on the job market of personnel with required background/qualification; advanced training on the job needed to fulfill tasks
Low - no specialized skillset needed, easily trained on the job, easy replacement of certain position possible
N/A is not used for this criteria</t>
  </si>
  <si>
    <t>If the execution of the process requires a high qualification this could lead to understaffing.</t>
  </si>
  <si>
    <t>Human error potential</t>
  </si>
  <si>
    <t>High - Significant share is conducted manually (e.g. &gt; 50% of transaction volume/process steps)
Medium - Major share is conducted manually (e.g. 50 % - 26 % transaction volume/process steps)
Low - Minor share is conducted manually (e.g. &lt; 26 % transaction volume/process steps)
N/A is not used for this criteria</t>
  </si>
  <si>
    <t>Share of manually driven process steps is an indicator of error proneness.</t>
  </si>
  <si>
    <t>Attrition/turnover rate (in last year)</t>
  </si>
  <si>
    <t xml:space="preserve"> 
High - Significant part or subject matter experts left the area; more than 20 %
Medium - minor cases of staff turnover; up to 20%
Low - Few fluctuation; up to 10%
N/A is not used for this criteria</t>
  </si>
  <si>
    <t>A high fluctuation is an indicator that adequate execution of the process could be at risk.</t>
  </si>
  <si>
    <t>Staffing</t>
  </si>
  <si>
    <t xml:space="preserve"> 
High - Key position (process operator) not staffed; more than 20 % of positions open
Medium - Team is understaffed; up to 20% of positions open
Low - Minor deficits in open positions; up to 10% of positions open
N/A is not used for this criteria</t>
  </si>
  <si>
    <t>A high number of vacant posts in relation to the team size is an indicator that adequate execution of the process could be at risk.</t>
  </si>
  <si>
    <t>Average</t>
  </si>
  <si>
    <t>Calculated result to be overridden if deemed not adequate</t>
  </si>
  <si>
    <t>Override the result / justification</t>
  </si>
  <si>
    <t>Provide justification in case of the override</t>
  </si>
  <si>
    <t>As per BCA, L2 was not assessed in current audit. No previous assessment was available. IA assessment rating is supported by open S3/S2 findings/CAP from 2024-063 Technology Governance</t>
  </si>
  <si>
    <t>Result of the last risk assessment (Low, Medium, High)</t>
  </si>
  <si>
    <t>Provide justification if the risk assessment result changed compared to the previous risk assessment</t>
  </si>
  <si>
    <t>No change</t>
  </si>
  <si>
    <r>
      <t xml:space="preserve">As per BCA, L2 was not assessed in Cyber IS audit and current rating is from 2025-001 IT Operations Management Audit.
</t>
    </r>
    <r>
      <rPr>
        <sz val="11"/>
        <color rgb="FF3C3D3E"/>
        <rFont val="Arial"/>
        <family val="2"/>
      </rPr>
      <t>Standard Incident Management process is followed across DBG as observed in the 2025-001 IT Operations Management, L2 controls are the same. These have been shown as mature in the past and this year, too</t>
    </r>
  </si>
  <si>
    <t>Not assessed in previous audit as separate L2 - current assessment rated as Low</t>
  </si>
  <si>
    <t>Risk Assessment for Risk Category Processes</t>
  </si>
  <si>
    <t>New Process or Changes in Process</t>
  </si>
  <si>
    <t xml:space="preserve">
High - Newly established process, significant changes in process
Medium - major changes in process
Low - Insignificant changes in process or products
N/A is not used for this criteria</t>
  </si>
  <si>
    <t>Newly established processes are more exposed to low process maturity and therefore have inherently higher process risk. The states of maturity of a process (initial, repeatable, defined, managed, optimized) describe an improvement path from an ad-hoc and generally not standardized, immature process to a mature (optimized), disciplined process focused on continuous improvement.</t>
  </si>
  <si>
    <t>Process Stakeholders</t>
  </si>
  <si>
    <t xml:space="preserve">
High - Process interacting with areas outside DBG (external stakeholders/clients/regulators)
Medium - Internally conducted process is under management attention (report to committee or board)
Low - Internally conducted process with limited visibility (process operator and line management)
N/A is not used for this criteria</t>
  </si>
  <si>
    <t>Processes interacting with areas outside DBG (e.g. client interaction, regulator, public) have a higher visibility than processes which are conducted internally. A failure in highly visible processes might have a higher contribution to the exposure of reputational risk.</t>
  </si>
  <si>
    <t>Confidentiality Level of Process</t>
  </si>
  <si>
    <t xml:space="preserve">
High - strictly confidential information is processed (e.g. strategy papers, unpublished trade information, portfolio information, information that enables insider trading)
Medium - Confidential information (e.g. company internal information) is processed, but no strictly confidential information
Low  - Internal and lower classified information is processed
N/A is not used for this criteria</t>
  </si>
  <si>
    <t>Inadequate handling of confidential may result in unauthorized knowledge and use of confidential information. A process reaches the next highest confidentiality level as soon as any kind of information classified with the confidentiality level is processed.
Public: Information intended &amp; authorized for general use inside &amp; outside DBG
Internal: Information, which is intended to use only within projects &amp; organizational contexts
Confidential: Sensitive information intended for the use by a restricted group of people
Strictly Confidential: The most sensitive information intended for the use within a very limited group of people on management level. Typically protected by regulation, law.</t>
  </si>
  <si>
    <t xml:space="preserve">Process Criticality
</t>
  </si>
  <si>
    <t>High - Mission critical: highest criticality with maximum quantitative and/or qualitative impact
Medium: Essential - impact could be important but not maximum
Low - Necessary: Not impacting business until unavailability of 1 week not exceeded / Desirable: Not impacting throughout unavailability of 1 week
N/A is not used for this criteria</t>
  </si>
  <si>
    <t>High process criticality indicates that a process is of outstanding importance for the viability of DBG's business. In accordance to the criticality, unavailability of these processes might have a higher contribution to the quantitative or qualitative impact. The criteria attributes correspond to the criticality assessment criteria attributes for business activities of the BIA guideline.
Qualitative impact types include:
• Operational impact
• Customer claims, penalties or compensations
• Loss of customers or revenues
• External interdependency and market stability
• Reputational damage
• Regulatory compliance
Quantitative impact mainly focuses on the potential financial impact.</t>
  </si>
  <si>
    <t>Regarding the Process, individual ratings add up to Medium as pointed out above are driving the rating lower than it was previously in 2024. Applying a more severe/conservative outlook to the processes’ inherent risks - from last year assessment, the newly formed DBG Guidelines were published in January and aligned to DORA requirements. Group Security Procedures were still underworks with target to align them with DORA requirments and DBG Guidelines by end of 2025 (as per annual review cycle and tracked in DORA Program).</t>
  </si>
  <si>
    <t>Not assessed in previous audit as separate L2 - current assessment rated as Medium</t>
  </si>
  <si>
    <t>Risk Assessment for Risk Category Internal Systems</t>
  </si>
  <si>
    <t>Rationale</t>
  </si>
  <si>
    <t>New IT Systems/Application or Changes in IT Systems/Tools</t>
  </si>
  <si>
    <t xml:space="preserve">
High - New IT System/Application implemented or significant changes in IT System/Application which have a huge impact on performance of the process
Medium - New IT System/Application implemented or major changes in IT System/Application which have an impact on the performance of one sub-process
Low - New IT System/Application implemented or changes in IT System/Application which have no or only minor impact on performance of the process
</t>
  </si>
  <si>
    <t>Changes in IT System/Tools or introduction of new IT System/Tool should be anticipated and incorporated in the audit planning to ensure that system changes have been implemented properly and support the process performance as intended.</t>
  </si>
  <si>
    <t>Internally developed vs. Standard Tools</t>
  </si>
  <si>
    <t xml:space="preserve">
High - Significant reliance on internally developed tools which have a huge impact on process performance
Medium - Major reliance on customized standard tools with in-built controls which have a large impact on process performance
Low - Only standard tools in use
N/A is not used for this criteria</t>
  </si>
  <si>
    <t>In general, internal tools contain a higher risk of lower system stability or introduced vulnerabilities, compared to established standardized externally developed tools, where the source code is not available, can not change without vendor update and is proven for larger global audience</t>
  </si>
  <si>
    <t>Individual Data Processing (IDP)/End-User Computing</t>
  </si>
  <si>
    <t xml:space="preserve">
High - Significant reliance on IDP (including Excel- or Access based tools)
which have a huge impact on process performance
Medium - Major reliance on IDP which have a large impact on process performance
Low - Minor reliance on IDP or only low impact on process performance
None - "N/A" 
</t>
  </si>
  <si>
    <t>In general, individual data processing/end-user computing contain a higher error susceptibility (e.g. because of required interfaces and workarounds), lower system stability and insufficient access control.
Definitions and details are mentioned in the DBG Individual Data Processing Policy</t>
  </si>
  <si>
    <t>Dependency on Systems/Tools</t>
  </si>
  <si>
    <t xml:space="preserve">
High - Process is highly dependent on systems/tools, process cannot be performed without system availability
Medium - Major parts of the process are dependent on systems/tools, in absence of systems process can only be executed with delays or under difficult conditions
Low - Minor dependency on systems/tools or process can be executed through existing alternative systems/manual workarounds
N/A is not used for this criteria</t>
  </si>
  <si>
    <r>
      <t>If the process is highly dependent on specific systems/tools, unavailability or changes of the systems/tools will affect the process execution.
The degree of automation should also be considered within the assessment. Automated processes are highly dependent on the availability of tools/systems.</t>
    </r>
    <r>
      <rPr>
        <b/>
        <sz val="14"/>
        <color rgb="FF3C3D3E"/>
        <rFont val="Arial"/>
        <family val="2"/>
      </rPr>
      <t xml:space="preserve">
</t>
    </r>
    <r>
      <rPr>
        <sz val="14"/>
        <color rgb="FF3C3D3E"/>
        <rFont val="Arial"/>
        <family val="2"/>
      </rPr>
      <t>Systems/tools in this context do not include applications and data that are available on every computer (e.g. Word, Excel etc.).</t>
    </r>
  </si>
  <si>
    <t>Risk Assessment for Risk Category External</t>
  </si>
  <si>
    <t>External Fraud Incentives</t>
  </si>
  <si>
    <t xml:space="preserve">
High - Process highly exposed to external fraud due to possibility for severe illicit enrichment  (e.g. cyber attacks, money laundering, fraudulent transaction instructions, theft of transaction data of market participants, external market manipulation) driven by handling of sensitive data and financial transactions
Medium - Process is exposed to external fraud due to possible illicit enrichment limited to the volume of internal transactions/inventory (e.g. creditor invoices, theft)
Low - Negligible exposure due to moderate or no possible illicit enrichment
N/A is not used for this criteria</t>
  </si>
  <si>
    <t>Depending on the data processed fraud activity could lead to increased financial or non-financial (reputational impact, impact on customers, regulatory actions) damage. Typically correlates with internal fraud exposure, but goes beyond (e.g. external market manipulation, external transaction manipulation).</t>
  </si>
  <si>
    <t>Exposure to Regulator's Scrutiny</t>
  </si>
  <si>
    <t xml:space="preserve">
High - Significantly and regularly exposed to external reviews based on applicable multiple laws, regulations/jurisdictions
Medium - Exposed to occasional external review based on applicable law or regulation
Low - No exposure to external review
N/A is not used for this criteria</t>
  </si>
  <si>
    <t>Regulatory risk increases with the number of regulations (and IT regulations, e.g. KRITIS) to be complied with. Regulatory changes should be anticipated. It should be ensured that compliance with changing regulations is ensured, before the respective regulation becomes enforceable.</t>
  </si>
  <si>
    <t>External supplier utilization (including intra-group outsourcing)</t>
  </si>
  <si>
    <t xml:space="preserve">
High - Significant parts of the process are executed by external suppliers
Medium - Major parts of the process are executed by external suppliers
Low - Only minor parts of the process are executed by external suppliers/ No part of the process is executed by external suppliers 
N/A is not used for this criteria</t>
  </si>
  <si>
    <t>The degree of outsourcing of substantial processes indicates the dependency from external suppliers.</t>
  </si>
  <si>
    <t>Data Protection according to GDPR</t>
  </si>
  <si>
    <t>High -  Processing and/or controlling of personal data is performed on behalf of external (non-DBAG) entities and/orDBAG entities outside of the EU.
Medium – Processes personal data for its own purpose or for the purpose of other entities within the Group 
Low -  Controls personal data for its own purposes
N/A is not applicable here</t>
  </si>
  <si>
    <t>If personal information is processed, GDPR requirements apply, according to internal guidelines (Data Protection Impact Assessment).
Processing and/or controlling of personal data on behalf of entities outside of the EU result in a high exposure of external regulation relating to GDPR compared to local requirements (outside of EU).</t>
  </si>
  <si>
    <t>Dependency on local company infrastructure/flexibility of workplace and staff availability</t>
  </si>
  <si>
    <t xml:space="preserve">
High - Performance of work would not be possible from another site or alternative group of staff only after significant efforts to set up / recover alternative structures (weeks, if not months)
Medium - Performing the respective areas work at another site or alternative group of staff  is only possible after implementation of an alternative solution (e.g. according to the business continuity plan) (several days)
Low - The respective areas work could easily be performed at another site or with an alternative group of staff (within one day)
</t>
  </si>
  <si>
    <t>The lower the degree of dependency on local infrastructure, like personal computers and data only available or accessible at the company site or specific group of staff, the lower the risk proneness to external events.</t>
  </si>
  <si>
    <t>Risk Assessment for Risk Category Information Security</t>
  </si>
  <si>
    <t>Comment (Mandatory field)</t>
  </si>
  <si>
    <t>IT Application risk and business risk data (Confidentiality, Integrity, and Authenticity)</t>
  </si>
  <si>
    <t>High -  IT Applications with the potential for S4 or S3 findings (Not an identification of existing findings, but assessment of the criticality and whether IT application has the potential of having findings) given the criticality of the application. Affected data include e.g. financial data (e.g. Tax or P&amp;L data), Personal Identifiable Information (PII), Strictly Confidential (SC) data or do have a high GDPR relevance. The business process fully rely's on data confidentiality, integrity and authenticity.
Medium – IT Applications with the potential for S2 or S1 findings, (Not an identification of existing findings, but assessment of the criticality and whether IT application has the potential of having findings) given the criticality of the application. The business process is classified as medium or has a limited reliance on data confidentiality, integrity and authenticity. A second data sources exist which could be used in case of confidentiality, integrity and authenticity breaches.
Low -  IT Applications with the potential for Comments, given the criticality of the application. The business process itself is low or the business process does not rely on the data but can continue without the data.
N/A is not used for this criteria</t>
  </si>
  <si>
    <t>For the IT applications in the audit scope or newly identified applications, take into account their:
- Overall: data criticality of the using business process (most important)
- IA's application risk assessment (as in "Guidance Paper for IT Application Coverage and Audit Strategy"); IA golden source for applications.
- Group risk assessment for data confidentiality, data integrity and data authenticity (e.g. as listed in APMS)</t>
  </si>
  <si>
    <t>Governance aspect of IS Strategy and Design.
No or just limited criticality of IT Applications used in this area.</t>
  </si>
  <si>
    <t>As per BCA, L2 was not in focus of this audit. Ratings come from process as covered in 2025-001 IT Operations Management</t>
  </si>
  <si>
    <t>Outdated cryptography measures, expired keys, and data breaches result in inadequate protection of sensitive data and misrepresentation of control effectiveness in risk assessments. Cryptography controls need to have strengthen governance and harmonization in the related control environment across Asset Owners, Shared IT, and Product IT teams.</t>
  </si>
  <si>
    <t xml:space="preserve">Many aspects such as Digitalization of Application Security Document, IS Risk Management, Threat Led Penetration Testing (TLPT), SSH Key Inventory (SKI), SSH Key Management (SKM), Database Activity Monitoring (DAM), gaps around the management (collection, storage) of Security Information and Event Management (SIEM) data, Advanced Persistent Threat (APT) protection, etc. were still undergoing remediation/implementation, particularly from AMELI. </t>
  </si>
  <si>
    <t>As per BCA, L2 was not in focus of this audit. No or just limited criticality of IT Applications used in this area.</t>
  </si>
  <si>
    <t>IT Applications relevant to two S2 findings</t>
  </si>
  <si>
    <t>IDP Data concerning Confidentiality, Integrity and Authenticity</t>
  </si>
  <si>
    <t>High -  Affected data include e.g. financial data (e.g. Tax or P&amp;L data), Personal Identifiable Information (PII) or Strictly Confidential (SC) data. The business process fully rely's on data confidentiality, integrity and authenticity.
Medium – IDPs with the potential for S2 or S1 findings (Not an identification of existing findings, but assessment of the criticality and whether IDP has the potential of having findings). The business process is classified as medium or has a limited reliance on data confidentiality, integrity and authenticity. Second data sources exist which could be used in case of confidentiality, integrity and authenticity breaches.
Low -  The business process itself is low or the business process does not rely on the data but can continue without the data.
N/A is not used for this criteria</t>
  </si>
  <si>
    <t>For the IDPs in the audit scope or newly identified IDPs, take into account:
- Overall: data criticality of the using business process (most important)
- The risk portfolio of IPD (how many high risk, how many medium risk, how many low risk).</t>
  </si>
  <si>
    <t>No IDPs identified during the audit.</t>
  </si>
  <si>
    <t xml:space="preserve">As per BCA, L2 was not in focus of this audit. </t>
  </si>
  <si>
    <t>Outcome of IS related insights gained during the audit, e.g. discussions with senior management</t>
  </si>
  <si>
    <t>High - highest criticality with maximum quantitative and/or qualitative impact to IS related processes
Medium: impact could be important but not maximum
Low - minimum impact to IS related processes
N/A is not used for this criteria</t>
  </si>
  <si>
    <t>Consider IS-related information obtained during fieldwork inlcuding discussions with senior management and own IA assessment</t>
  </si>
  <si>
    <t xml:space="preserve">DORA regulation requirment fullfillment efforts through 2025. </t>
  </si>
  <si>
    <t>Significant remediation efforts are underway through the DORA and AMELI programs, addressing significant gaps within this L2 area of Cyber and IS.</t>
  </si>
  <si>
    <t>Inadequate guidelines on ‘Partner Services’ as an asset type in DBG’s APMS.</t>
  </si>
  <si>
    <t>Segregation of duty (SoD) control deficiency for the application. From IS risk perspective impact is medium with focus on this area.</t>
  </si>
  <si>
    <t xml:space="preserve">The risk and impact was Medium in 2024, due to DORA requirements coming into force. From the audit IA concluded DORA requirements had been completed and the risk reduced to low. </t>
  </si>
  <si>
    <t>As per BCA, L2 was not assessed in Cyber IS audit and current rating is from 2025-001 IT Operations Management Audit.ngs.</t>
  </si>
  <si>
    <t>As per BCA, L2 was not assessed in current audit. Assessment remains unchanged.</t>
  </si>
  <si>
    <t>List without none</t>
  </si>
  <si>
    <t>Core</t>
  </si>
  <si>
    <t>2Y</t>
  </si>
  <si>
    <t>3Y</t>
  </si>
  <si>
    <t>Management</t>
  </si>
  <si>
    <t>Strong/Robust</t>
  </si>
  <si>
    <t>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</si>
</sst>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3">
    <font>
      <sz val="11"/>
      <color theme="1"/>
      <name val="Calibri"/>
      <family val="2"/>
      <scheme val="minor"/>
    </font>
    <font>
      <b/>
      <sz val="11"/>
      <color theme="1"/>
      <name val="Calibri"/>
      <family val="2"/>
      <scheme val="minor"/>
    </font>
    <font>
      <sz val="11"/>
      <color rgb="FF3F3F76"/>
      <name val="Calibri"/>
      <family val="2"/>
      <scheme val="minor"/>
    </font>
    <font>
      <b/>
      <sz val="11"/>
      <color rgb="FFFFFFFF"/>
      <name val="Arial"/>
      <family val="2"/>
    </font>
    <font>
      <sz val="11"/>
      <color rgb="FF3C3D3E"/>
      <name val="Arial"/>
      <family val="2"/>
    </font>
    <font>
      <sz val="11"/>
      <color theme="1"/>
      <name val="Arial"/>
      <family val="2"/>
    </font>
    <font>
      <b/>
      <sz val="12"/>
      <color theme="1"/>
      <name val="Arial"/>
      <family val="2"/>
    </font>
    <font>
      <b/>
      <sz val="14"/>
      <color theme="1"/>
      <name val="Calibri"/>
      <family val="2"/>
      <scheme val="minor"/>
    </font>
    <font>
      <b/>
      <sz val="12"/>
      <color rgb="FF3C3D3E"/>
      <name val="Arial"/>
      <family val="2"/>
    </font>
    <font>
      <b/>
      <sz val="16"/>
      <color theme="1"/>
      <name val="Calibri"/>
      <family val="2"/>
      <scheme val="minor"/>
    </font>
    <font>
      <sz val="11"/>
      <color rgb="FF3C3D3E"/>
      <name val="Calibri"/>
      <family val="2"/>
      <scheme val="minor"/>
    </font>
    <font>
      <b/>
      <sz val="12"/>
      <color rgb="FFFFFFFF"/>
      <name val="Arial"/>
      <family val="2"/>
    </font>
    <font>
      <sz val="11"/>
      <color rgb="FFFFFFFF"/>
      <name val="Arial"/>
      <family val="2"/>
    </font>
    <font>
      <sz val="10"/>
      <color rgb="FFFFFFFF"/>
      <name val="Arial"/>
      <family val="2"/>
    </font>
    <font>
      <sz val="8"/>
      <name val="Calibri"/>
      <family val="2"/>
      <scheme val="minor"/>
    </font>
    <font>
      <b/>
      <sz val="12"/>
      <color theme="1" tint="0.34998626667073579"/>
      <name val="Arial"/>
      <family val="2"/>
    </font>
    <font>
      <sz val="11"/>
      <color theme="1" tint="0.34998626667073579"/>
      <name val="Arial"/>
      <family val="2"/>
    </font>
    <font>
      <sz val="10"/>
      <color theme="1" tint="0.34998626667073579"/>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6"/>
      <color rgb="FF3C3D3E"/>
      <name val="Arial"/>
      <family val="2"/>
    </font>
    <font>
      <sz val="18"/>
      <color rgb="FF3C3D3E"/>
      <name val="Arial"/>
      <family val="2"/>
    </font>
    <font>
      <b/>
      <sz val="16"/>
      <color rgb="FF3C3D3E"/>
      <name val="Arial"/>
      <family val="2"/>
    </font>
    <font>
      <sz val="16"/>
      <color theme="1"/>
      <name val="Calibri"/>
      <family val="2"/>
      <scheme val="minor"/>
    </font>
    <font>
      <sz val="10"/>
      <color rgb="FF3C3D3E"/>
      <name val="Calibri"/>
      <family val="2"/>
      <scheme val="minor"/>
    </font>
    <font>
      <sz val="10"/>
      <color rgb="FF3C3D3E"/>
      <name val="Arial"/>
      <family val="2"/>
    </font>
    <font>
      <b/>
      <sz val="10"/>
      <color rgb="FF3C3D3E"/>
      <name val="Arial"/>
      <family val="2"/>
    </font>
    <font>
      <sz val="10"/>
      <color theme="1"/>
      <name val="Calibri"/>
      <family val="2"/>
      <scheme val="minor"/>
    </font>
    <font>
      <sz val="14"/>
      <color theme="1"/>
      <name val="Calibri"/>
      <family val="2"/>
      <scheme val="minor"/>
    </font>
    <font>
      <b/>
      <sz val="18"/>
      <color rgb="FF3C3D3E"/>
      <name val="Calibri"/>
      <family val="2"/>
      <scheme val="minor"/>
    </font>
    <font>
      <b/>
      <sz val="18"/>
      <color rgb="FF3C3D3E"/>
      <name val="Arial"/>
      <family val="2"/>
    </font>
    <font>
      <sz val="18"/>
      <color theme="1"/>
      <name val="Calibri"/>
      <family val="2"/>
      <scheme val="minor"/>
    </font>
    <font>
      <sz val="16"/>
      <color theme="1"/>
      <name val="Arial"/>
      <family val="2"/>
    </font>
    <font>
      <b/>
      <sz val="18"/>
      <color theme="1"/>
      <name val="Arial"/>
      <family val="2"/>
    </font>
    <font>
      <sz val="18"/>
      <color theme="1"/>
      <name val="Arial"/>
      <family val="2"/>
    </font>
    <font>
      <b/>
      <sz val="18"/>
      <color theme="1"/>
      <name val="Calibri"/>
      <family val="2"/>
      <scheme val="minor"/>
    </font>
    <font>
      <sz val="14"/>
      <color rgb="FF3C3D3E"/>
      <name val="Arial"/>
      <family val="2"/>
    </font>
    <font>
      <b/>
      <sz val="14"/>
      <color rgb="FF3C3D3E"/>
      <name val="Arial"/>
      <family val="2"/>
    </font>
    <font>
      <sz val="12"/>
      <color rgb="FF3C3D3E"/>
      <name val="Arial"/>
      <family val="2"/>
    </font>
    <font>
      <sz val="12"/>
      <color theme="1"/>
      <name val="Calibri"/>
      <family val="2"/>
      <scheme val="minor"/>
    </font>
    <font>
      <sz val="12"/>
      <color theme="1"/>
      <name val="Arial"/>
      <family val="2"/>
    </font>
    <font>
      <b/>
      <sz val="10"/>
      <color rgb="FFFFFFFF"/>
      <name val="Arial"/>
      <family val="2"/>
    </font>
    <font>
      <sz val="14"/>
      <name val="Arial"/>
      <family val="2"/>
    </font>
    <font>
      <b/>
      <sz val="14"/>
      <color rgb="FFFFFFFF"/>
      <name val="Arial"/>
      <family val="2"/>
    </font>
    <font>
      <u/>
      <sz val="11"/>
      <color theme="10"/>
      <name val="Calibri"/>
      <family val="2"/>
      <scheme val="minor"/>
    </font>
    <font>
      <sz val="10"/>
      <name val="Arial"/>
      <family val="2"/>
    </font>
    <font>
      <sz val="11"/>
      <name val="Arial"/>
      <family val="2"/>
    </font>
    <font>
      <sz val="8"/>
      <color theme="1"/>
      <name val="Calibri"/>
      <family val="2"/>
      <scheme val="minor"/>
    </font>
    <font>
      <b/>
      <sz val="8"/>
      <color rgb="FFFFFFFF"/>
      <name val="Arial"/>
      <family val="2"/>
    </font>
    <font>
      <sz val="8"/>
      <color theme="1" tint="0.34998626667073579"/>
      <name val="Arial"/>
      <family val="2"/>
    </font>
    <font>
      <sz val="8"/>
      <color rgb="FF3C3D3E"/>
      <name val="Arial"/>
      <family val="2"/>
    </font>
  </fonts>
  <fills count="39">
    <fill>
      <patternFill patternType="none"/>
    </fill>
    <fill>
      <patternFill patternType="gray125"/>
    </fill>
    <fill>
      <patternFill patternType="solid">
        <fgColor rgb="FFFFCC99"/>
      </patternFill>
    </fill>
    <fill>
      <patternFill patternType="solid">
        <fgColor rgb="FFCBE3EA"/>
        <bgColor indexed="64"/>
      </patternFill>
    </fill>
    <fill>
      <patternFill patternType="solid">
        <fgColor rgb="FF00ACC4"/>
        <bgColor indexed="64"/>
      </patternFill>
    </fill>
    <fill>
      <patternFill patternType="solid">
        <fgColor rgb="FFDAE8EE"/>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FECF1"/>
        <bgColor indexed="64"/>
      </patternFill>
    </fill>
    <fill>
      <patternFill patternType="solid">
        <fgColor rgb="FF00B0F0"/>
        <bgColor indexed="64"/>
      </patternFill>
    </fill>
    <fill>
      <patternFill patternType="solid">
        <fgColor theme="8" tint="0.59999389629810485"/>
        <bgColor indexed="64"/>
      </patternFill>
    </fill>
  </fills>
  <borders count="53">
    <border>
      <left/>
      <right/>
      <top/>
      <bottom/>
      <diagonal/>
    </border>
    <border>
      <left/>
      <right/>
      <top style="thin">
        <color indexed="64"/>
      </top>
      <bottom style="double">
        <color indexed="64"/>
      </bottom>
      <diagonal/>
    </border>
    <border>
      <left style="thin">
        <color rgb="FF7F7F7F"/>
      </left>
      <right style="thin">
        <color rgb="FF7F7F7F"/>
      </right>
      <top style="thin">
        <color rgb="FF7F7F7F"/>
      </top>
      <bottom style="thin">
        <color rgb="FF7F7F7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medium">
        <color rgb="FFFFFFFF"/>
      </left>
      <right/>
      <top style="medium">
        <color rgb="FFFFFFFF"/>
      </top>
      <bottom style="thick">
        <color rgb="FFFFFFFF"/>
      </bottom>
      <diagonal/>
    </border>
    <border>
      <left/>
      <right style="medium">
        <color rgb="FFFFFFFF"/>
      </right>
      <top style="medium">
        <color rgb="FFFFFFFF"/>
      </top>
      <bottom style="thick">
        <color rgb="FFFFFFFF"/>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thick">
        <color rgb="FFFFFFFF"/>
      </top>
      <bottom style="thick">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style="medium">
        <color rgb="FFFFFFFF"/>
      </left>
      <right/>
      <top style="thick">
        <color rgb="FFFFFFFF"/>
      </top>
      <bottom style="medium">
        <color rgb="FFFFFFFF"/>
      </bottom>
      <diagonal/>
    </border>
    <border>
      <left/>
      <right style="medium">
        <color rgb="FFFFFFFF"/>
      </right>
      <top style="thick">
        <color rgb="FFFFFFFF"/>
      </top>
      <bottom style="medium">
        <color rgb="FFFFFFFF"/>
      </bottom>
      <diagonal/>
    </border>
    <border>
      <left style="medium">
        <color rgb="FFFFFFFF"/>
      </left>
      <right/>
      <top style="medium">
        <color rgb="FFFFFFFF"/>
      </top>
      <bottom style="medium">
        <color rgb="FFFFFFFF"/>
      </bottom>
      <diagonal/>
    </border>
    <border>
      <left/>
      <right style="medium">
        <color rgb="FFFFFFFF"/>
      </right>
      <top style="medium">
        <color rgb="FFFFFFFF"/>
      </top>
      <bottom style="medium">
        <color rgb="FFFFFFFF"/>
      </bottom>
      <diagonal/>
    </border>
    <border>
      <left/>
      <right/>
      <top style="medium">
        <color rgb="FFFFFFFF"/>
      </top>
      <bottom style="medium">
        <color rgb="FFFFFFFF"/>
      </bottom>
      <diagonal/>
    </border>
    <border>
      <left style="medium">
        <color rgb="FFFFFFFF"/>
      </left>
      <right/>
      <top/>
      <bottom/>
      <diagonal/>
    </border>
    <border>
      <left/>
      <right/>
      <top style="medium">
        <color rgb="FFFFFFFF"/>
      </top>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style="medium">
        <color rgb="FFFFFFFF"/>
      </right>
      <top style="medium">
        <color rgb="FFFFFFFF"/>
      </top>
      <bottom/>
      <diagonal/>
    </border>
    <border>
      <left style="medium">
        <color theme="0"/>
      </left>
      <right style="medium">
        <color theme="0"/>
      </right>
      <top style="medium">
        <color theme="0"/>
      </top>
      <bottom style="medium">
        <color theme="0"/>
      </bottom>
      <diagonal/>
    </border>
    <border>
      <left style="medium">
        <color theme="0"/>
      </left>
      <right/>
      <top/>
      <bottom/>
      <diagonal/>
    </border>
    <border>
      <left style="medium">
        <color theme="0"/>
      </left>
      <right/>
      <top style="medium">
        <color theme="0"/>
      </top>
      <bottom style="medium">
        <color rgb="FFFFFFF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theme="0"/>
      </right>
      <top style="medium">
        <color theme="0"/>
      </top>
      <bottom style="medium">
        <color theme="0"/>
      </bottom>
      <diagonal/>
    </border>
    <border>
      <left style="medium">
        <color rgb="FFFFFFFF"/>
      </left>
      <right/>
      <top/>
      <bottom style="medium">
        <color rgb="FFFFFFFF"/>
      </bottom>
      <diagonal/>
    </border>
    <border>
      <left style="medium">
        <color indexed="64"/>
      </left>
      <right style="medium">
        <color rgb="FFFFFFFF"/>
      </right>
      <top style="medium">
        <color indexed="64"/>
      </top>
      <bottom style="medium">
        <color rgb="FFFFFFFF"/>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medium">
        <color rgb="FFFFFFFF"/>
      </right>
      <top style="medium">
        <color rgb="FFFFFFFF"/>
      </top>
      <bottom style="medium">
        <color rgb="FFFFFFFF"/>
      </bottom>
      <diagonal/>
    </border>
    <border>
      <left style="medium">
        <color rgb="FFFFFFFF"/>
      </left>
      <right style="medium">
        <color indexed="64"/>
      </right>
      <top/>
      <bottom style="medium">
        <color rgb="FFFFFFFF"/>
      </bottom>
      <diagonal/>
    </border>
    <border>
      <left style="medium">
        <color rgb="FFFFFFFF"/>
      </left>
      <right style="medium">
        <color indexed="64"/>
      </right>
      <top style="medium">
        <color rgb="FFFFFFFF"/>
      </top>
      <bottom style="medium">
        <color rgb="FFFFFFFF"/>
      </bottom>
      <diagonal/>
    </border>
    <border>
      <left style="medium">
        <color indexed="64"/>
      </left>
      <right style="medium">
        <color rgb="FFFFFFFF"/>
      </right>
      <top style="medium">
        <color rgb="FFFFFFFF"/>
      </top>
      <bottom style="medium">
        <color indexed="64"/>
      </bottom>
      <diagonal/>
    </border>
    <border>
      <left style="medium">
        <color rgb="FFFFFFFF"/>
      </left>
      <right style="medium">
        <color rgb="FFFFFFFF"/>
      </right>
      <top style="medium">
        <color rgb="FFFFFFFF"/>
      </top>
      <bottom style="medium">
        <color indexed="64"/>
      </bottom>
      <diagonal/>
    </border>
    <border>
      <left style="medium">
        <color rgb="FFFFFFFF"/>
      </left>
      <right style="medium">
        <color indexed="64"/>
      </right>
      <top style="medium">
        <color rgb="FFFFFFFF"/>
      </top>
      <bottom style="medium">
        <color indexed="64"/>
      </bottom>
      <diagonal/>
    </border>
    <border>
      <left style="medium">
        <color indexed="64"/>
      </left>
      <right style="medium">
        <color indexed="64"/>
      </right>
      <top style="medium">
        <color indexed="64"/>
      </top>
      <bottom style="medium">
        <color rgb="FFFFFFFF"/>
      </bottom>
      <diagonal/>
    </border>
    <border>
      <left style="medium">
        <color indexed="64"/>
      </left>
      <right style="medium">
        <color indexed="64"/>
      </right>
      <top style="medium">
        <color rgb="FFFFFFFF"/>
      </top>
      <bottom style="medium">
        <color rgb="FFFFFFFF"/>
      </bottom>
      <diagonal/>
    </border>
    <border>
      <left style="medium">
        <color indexed="64"/>
      </left>
      <right style="medium">
        <color indexed="64"/>
      </right>
      <top style="medium">
        <color rgb="FFFFFFFF"/>
      </top>
      <bottom style="medium">
        <color indexed="64"/>
      </bottom>
      <diagonal/>
    </border>
    <border>
      <left style="medium">
        <color rgb="FFFFFFFF"/>
      </left>
      <right/>
      <top style="medium">
        <color rgb="FFFFFFFF"/>
      </top>
      <bottom style="medium">
        <color indexed="64"/>
      </bottom>
      <diagonal/>
    </border>
    <border>
      <left style="medium">
        <color theme="0"/>
      </left>
      <right/>
      <top style="medium">
        <color rgb="FFFFFFFF"/>
      </top>
      <bottom style="medium">
        <color rgb="FFFFFFFF"/>
      </bottom>
      <diagonal/>
    </border>
    <border>
      <left style="medium">
        <color rgb="FFFFFFFF"/>
      </left>
      <right style="medium">
        <color rgb="FFFFFFFF"/>
      </right>
      <top/>
      <bottom style="medium">
        <color indexed="64"/>
      </bottom>
      <diagonal/>
    </border>
    <border>
      <left style="medium">
        <color rgb="FFFFFFFF"/>
      </left>
      <right/>
      <top style="thick">
        <color rgb="FFFFFFFF"/>
      </top>
      <bottom/>
      <diagonal/>
    </border>
    <border>
      <left/>
      <right style="medium">
        <color rgb="FFFFFFFF"/>
      </right>
      <top style="thick">
        <color rgb="FFFFFFFF"/>
      </top>
      <bottom/>
      <diagonal/>
    </border>
  </borders>
  <cellStyleXfs count="42">
    <xf numFmtId="0" fontId="0" fillId="0" borderId="0"/>
    <xf numFmtId="0" fontId="18" fillId="13" borderId="0" applyNumberFormat="0" applyBorder="0" applyAlignment="0" applyProtection="0"/>
    <xf numFmtId="0" fontId="18" fillId="17" borderId="0" applyNumberFormat="0" applyBorder="0" applyAlignment="0" applyProtection="0"/>
    <xf numFmtId="0" fontId="18" fillId="21" borderId="0" applyNumberFormat="0" applyBorder="0" applyAlignment="0" applyProtection="0"/>
    <xf numFmtId="0" fontId="18" fillId="25" borderId="0" applyNumberFormat="0" applyBorder="0" applyAlignment="0" applyProtection="0"/>
    <xf numFmtId="0" fontId="18" fillId="29" borderId="0" applyNumberFormat="0" applyBorder="0" applyAlignment="0" applyProtection="0"/>
    <xf numFmtId="0" fontId="18" fillId="33"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34"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0" fontId="18" fillId="35" borderId="0" applyNumberFormat="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25" fillId="9" borderId="29" applyNumberFormat="0" applyAlignment="0" applyProtection="0"/>
    <xf numFmtId="0" fontId="26" fillId="9" borderId="2" applyNumberFormat="0" applyAlignment="0" applyProtection="0"/>
    <xf numFmtId="0" fontId="2" fillId="2" borderId="2" applyNumberFormat="0" applyAlignment="0" applyProtection="0"/>
    <xf numFmtId="0" fontId="1" fillId="0" borderId="33" applyNumberFormat="0" applyFill="0" applyAlignment="0" applyProtection="0"/>
    <xf numFmtId="0" fontId="30" fillId="0" borderId="0" applyNumberFormat="0" applyFill="0" applyBorder="0" applyAlignment="0" applyProtection="0"/>
    <xf numFmtId="0" fontId="23" fillId="7" borderId="0" applyNumberFormat="0" applyBorder="0" applyAlignment="0" applyProtection="0"/>
    <xf numFmtId="0" fontId="18" fillId="11" borderId="32" applyNumberFormat="0" applyFont="0" applyAlignment="0" applyProtection="0"/>
    <xf numFmtId="0" fontId="24" fillId="8" borderId="0" applyNumberFormat="0" applyBorder="0" applyAlignment="0" applyProtection="0"/>
    <xf numFmtId="0" fontId="19" fillId="0" borderId="0" applyNumberFormat="0" applyFill="0" applyBorder="0" applyAlignment="0" applyProtection="0"/>
    <xf numFmtId="0" fontId="20" fillId="0" borderId="26" applyNumberFormat="0" applyFill="0" applyAlignment="0" applyProtection="0"/>
    <xf numFmtId="0" fontId="21" fillId="0" borderId="27" applyNumberFormat="0" applyFill="0" applyAlignment="0" applyProtection="0"/>
    <xf numFmtId="0" fontId="22" fillId="0" borderId="28" applyNumberFormat="0" applyFill="0" applyAlignment="0" applyProtection="0"/>
    <xf numFmtId="0" fontId="22" fillId="0" borderId="0" applyNumberFormat="0" applyFill="0" applyBorder="0" applyAlignment="0" applyProtection="0"/>
    <xf numFmtId="0" fontId="27" fillId="0" borderId="30" applyNumberFormat="0" applyFill="0" applyAlignment="0" applyProtection="0"/>
    <xf numFmtId="0" fontId="29" fillId="0" borderId="0" applyNumberFormat="0" applyFill="0" applyBorder="0" applyAlignment="0" applyProtection="0"/>
    <xf numFmtId="0" fontId="28" fillId="10" borderId="31" applyNumberFormat="0" applyAlignment="0" applyProtection="0"/>
    <xf numFmtId="0" fontId="56" fillId="0" borderId="0" applyNumberFormat="0" applyFill="0" applyBorder="0" applyAlignment="0" applyProtection="0"/>
  </cellStyleXfs>
  <cellXfs count="163">
    <xf numFmtId="0" fontId="0" fillId="0" borderId="0" xfId="0"/>
    <xf numFmtId="0" fontId="0" fillId="0" borderId="0" xfId="0" applyAlignment="1">
      <alignment vertical="top"/>
    </xf>
    <xf numFmtId="0" fontId="0" fillId="0" borderId="0" xfId="0" applyAlignment="1">
      <alignment horizontal="center" vertical="center"/>
    </xf>
    <xf numFmtId="0" fontId="0" fillId="0" borderId="0" xfId="0" applyAlignment="1">
      <alignment horizontal="center" vertical="top"/>
    </xf>
    <xf numFmtId="0" fontId="3" fillId="4" borderId="4" xfId="0" applyFont="1" applyFill="1" applyBorder="1" applyAlignment="1">
      <alignment horizontal="center" vertical="center" wrapText="1" readingOrder="1"/>
    </xf>
    <xf numFmtId="0" fontId="4" fillId="3" borderId="3" xfId="0" applyFont="1" applyFill="1" applyBorder="1" applyAlignment="1">
      <alignment horizontal="center" vertical="center" wrapText="1" readingOrder="1"/>
    </xf>
    <xf numFmtId="0" fontId="5" fillId="0" borderId="0" xfId="0" applyFont="1" applyAlignment="1">
      <alignment vertical="top"/>
    </xf>
    <xf numFmtId="0" fontId="6" fillId="0" borderId="0" xfId="0" applyFont="1" applyAlignment="1">
      <alignment horizontal="left" vertical="center"/>
    </xf>
    <xf numFmtId="0" fontId="4" fillId="5" borderId="9" xfId="0" applyFont="1" applyFill="1" applyBorder="1" applyAlignment="1">
      <alignment horizontal="center" vertical="center" readingOrder="1"/>
    </xf>
    <xf numFmtId="0" fontId="1" fillId="0" borderId="1" xfId="0" applyFont="1" applyBorder="1" applyAlignment="1">
      <alignment horizontal="center" vertical="top"/>
    </xf>
    <xf numFmtId="0" fontId="7" fillId="0" borderId="0" xfId="0" applyFont="1" applyAlignment="1">
      <alignment vertical="top"/>
    </xf>
    <xf numFmtId="0" fontId="0" fillId="0" borderId="0" xfId="0" applyAlignment="1">
      <alignment wrapText="1"/>
    </xf>
    <xf numFmtId="164" fontId="6" fillId="0" borderId="1" xfId="0" applyNumberFormat="1" applyFont="1" applyBorder="1" applyAlignment="1">
      <alignment vertical="top"/>
    </xf>
    <xf numFmtId="0" fontId="9" fillId="0" borderId="0" xfId="0" applyFont="1"/>
    <xf numFmtId="0" fontId="4" fillId="5" borderId="10" xfId="0" applyFont="1" applyFill="1" applyBorder="1" applyAlignment="1">
      <alignment vertical="top" wrapText="1"/>
    </xf>
    <xf numFmtId="0" fontId="0" fillId="0" borderId="0" xfId="0" applyAlignment="1">
      <alignment horizontal="center"/>
    </xf>
    <xf numFmtId="2" fontId="1" fillId="0" borderId="1" xfId="0" applyNumberFormat="1" applyFont="1" applyBorder="1" applyAlignment="1">
      <alignment horizontal="center" vertical="top"/>
    </xf>
    <xf numFmtId="0" fontId="4" fillId="6" borderId="8" xfId="0" applyFont="1" applyFill="1" applyBorder="1" applyAlignment="1">
      <alignment horizontal="center" vertical="center" wrapText="1"/>
    </xf>
    <xf numFmtId="0" fontId="4" fillId="6" borderId="16" xfId="0" applyFont="1" applyFill="1" applyBorder="1" applyAlignment="1">
      <alignment horizontal="center" vertical="center" wrapText="1"/>
    </xf>
    <xf numFmtId="0" fontId="0" fillId="0" borderId="23" xfId="0" applyBorder="1"/>
    <xf numFmtId="0" fontId="15" fillId="6" borderId="20" xfId="0" applyFont="1" applyFill="1" applyBorder="1" applyAlignment="1">
      <alignment readingOrder="1"/>
    </xf>
    <xf numFmtId="0" fontId="15" fillId="6" borderId="19" xfId="0" applyFont="1" applyFill="1" applyBorder="1" applyAlignment="1">
      <alignment readingOrder="1"/>
    </xf>
    <xf numFmtId="0" fontId="3" fillId="4" borderId="10" xfId="0" applyFont="1" applyFill="1" applyBorder="1" applyAlignment="1">
      <alignment horizontal="center" vertical="center" wrapText="1" readingOrder="1"/>
    </xf>
    <xf numFmtId="0" fontId="1" fillId="0" borderId="0" xfId="0" applyFont="1"/>
    <xf numFmtId="0" fontId="4" fillId="5" borderId="10" xfId="0" applyFont="1" applyFill="1" applyBorder="1" applyAlignment="1">
      <alignment horizontal="right" vertical="top" wrapText="1"/>
    </xf>
    <xf numFmtId="0" fontId="12" fillId="4" borderId="10" xfId="0" applyFont="1" applyFill="1" applyBorder="1" applyAlignment="1">
      <alignment horizontal="center" vertical="center" wrapText="1" readingOrder="1"/>
    </xf>
    <xf numFmtId="0" fontId="3" fillId="4" borderId="10" xfId="0" applyFont="1" applyFill="1" applyBorder="1" applyAlignment="1">
      <alignment vertical="center" readingOrder="1"/>
    </xf>
    <xf numFmtId="0" fontId="13" fillId="4" borderId="20" xfId="0" applyFont="1" applyFill="1" applyBorder="1" applyAlignment="1">
      <alignment vertical="center" wrapText="1" readingOrder="1"/>
    </xf>
    <xf numFmtId="0" fontId="13" fillId="4" borderId="22" xfId="0" applyFont="1" applyFill="1" applyBorder="1" applyAlignment="1">
      <alignment vertical="center" wrapText="1" readingOrder="1"/>
    </xf>
    <xf numFmtId="0" fontId="3" fillId="4" borderId="10" xfId="0" applyFont="1" applyFill="1" applyBorder="1" applyAlignment="1">
      <alignment vertical="center" wrapText="1" readingOrder="1"/>
    </xf>
    <xf numFmtId="0" fontId="3" fillId="4" borderId="22" xfId="0" applyFont="1" applyFill="1" applyBorder="1" applyAlignment="1">
      <alignment vertical="center" wrapText="1" readingOrder="1"/>
    </xf>
    <xf numFmtId="0" fontId="3" fillId="4" borderId="16" xfId="0" applyFont="1" applyFill="1" applyBorder="1" applyAlignment="1">
      <alignment vertical="center" wrapText="1" readingOrder="1"/>
    </xf>
    <xf numFmtId="0" fontId="13" fillId="4" borderId="21" xfId="0" applyFont="1" applyFill="1" applyBorder="1" applyAlignment="1">
      <alignment vertical="center" wrapText="1" readingOrder="1"/>
    </xf>
    <xf numFmtId="0" fontId="10" fillId="0" borderId="0" xfId="0" applyFont="1" applyAlignment="1">
      <alignment vertical="top"/>
    </xf>
    <xf numFmtId="0" fontId="10" fillId="0" borderId="1" xfId="0" applyFont="1" applyBorder="1" applyAlignment="1">
      <alignment vertical="top"/>
    </xf>
    <xf numFmtId="0" fontId="4" fillId="5" borderId="10" xfId="0" applyFont="1" applyFill="1" applyBorder="1" applyAlignment="1" applyProtection="1">
      <alignment vertical="top" wrapText="1"/>
      <protection locked="0"/>
    </xf>
    <xf numFmtId="0" fontId="4" fillId="5" borderId="15" xfId="0" applyFont="1" applyFill="1" applyBorder="1" applyAlignment="1" applyProtection="1">
      <alignment vertical="top" wrapText="1"/>
      <protection locked="0"/>
    </xf>
    <xf numFmtId="0" fontId="4" fillId="5" borderId="16" xfId="0" applyFont="1" applyFill="1" applyBorder="1" applyAlignment="1" applyProtection="1">
      <alignment horizontal="center" vertical="center" wrapText="1"/>
      <protection locked="0"/>
    </xf>
    <xf numFmtId="0" fontId="4" fillId="5" borderId="10" xfId="0" applyFont="1" applyFill="1" applyBorder="1" applyAlignment="1" applyProtection="1">
      <alignment horizontal="left" vertical="top" wrapText="1"/>
      <protection locked="0"/>
    </xf>
    <xf numFmtId="0" fontId="4" fillId="5" borderId="10" xfId="0" applyFont="1" applyFill="1" applyBorder="1" applyAlignment="1" applyProtection="1">
      <alignment horizontal="center" vertical="center" wrapText="1"/>
      <protection locked="0"/>
    </xf>
    <xf numFmtId="0" fontId="4" fillId="5" borderId="15" xfId="0" applyFont="1" applyFill="1" applyBorder="1" applyAlignment="1" applyProtection="1">
      <alignment horizontal="left" vertical="top" wrapText="1"/>
      <protection locked="0"/>
    </xf>
    <xf numFmtId="0" fontId="0" fillId="0" borderId="23" xfId="0" applyBorder="1" applyProtection="1">
      <protection locked="0"/>
    </xf>
    <xf numFmtId="0" fontId="4" fillId="5" borderId="9" xfId="0" applyFont="1" applyFill="1" applyBorder="1" applyAlignment="1" applyProtection="1">
      <alignment horizontal="center" vertical="center" readingOrder="1"/>
      <protection locked="0"/>
    </xf>
    <xf numFmtId="0" fontId="17" fillId="6" borderId="17" xfId="0" applyFont="1" applyFill="1" applyBorder="1" applyAlignment="1">
      <alignment wrapText="1" readingOrder="1"/>
    </xf>
    <xf numFmtId="0" fontId="11" fillId="4" borderId="0" xfId="0" applyFont="1" applyFill="1" applyAlignment="1">
      <alignment horizontal="center" vertical="center" wrapText="1" readingOrder="1"/>
    </xf>
    <xf numFmtId="2" fontId="7" fillId="0" borderId="1" xfId="0" applyNumberFormat="1" applyFont="1" applyBorder="1" applyAlignment="1">
      <alignment horizontal="center" vertical="top"/>
    </xf>
    <xf numFmtId="0" fontId="32" fillId="3" borderId="3" xfId="0" applyFont="1" applyFill="1" applyBorder="1" applyAlignment="1">
      <alignment horizontal="center" vertical="center" wrapText="1" readingOrder="1"/>
    </xf>
    <xf numFmtId="0" fontId="34" fillId="3" borderId="3" xfId="0" applyFont="1" applyFill="1" applyBorder="1" applyAlignment="1">
      <alignment horizontal="center" vertical="center" wrapText="1" readingOrder="1"/>
    </xf>
    <xf numFmtId="0" fontId="35" fillId="0" borderId="0" xfId="0" applyFont="1" applyAlignment="1">
      <alignment vertical="top"/>
    </xf>
    <xf numFmtId="0" fontId="36" fillId="0" borderId="0" xfId="0" applyFont="1" applyAlignment="1">
      <alignment vertical="top"/>
    </xf>
    <xf numFmtId="0" fontId="36" fillId="0" borderId="0" xfId="0" applyFont="1"/>
    <xf numFmtId="0" fontId="37" fillId="3" borderId="3" xfId="0" applyFont="1" applyFill="1" applyBorder="1" applyAlignment="1">
      <alignment horizontal="center" vertical="center" wrapText="1" readingOrder="1"/>
    </xf>
    <xf numFmtId="0" fontId="38" fillId="3" borderId="3" xfId="0" applyFont="1" applyFill="1" applyBorder="1" applyAlignment="1">
      <alignment horizontal="center" vertical="center" wrapText="1" readingOrder="1"/>
    </xf>
    <xf numFmtId="0" fontId="39" fillId="0" borderId="0" xfId="0" applyFont="1"/>
    <xf numFmtId="0" fontId="33" fillId="3" borderId="3" xfId="0" applyFont="1" applyFill="1" applyBorder="1" applyAlignment="1">
      <alignment horizontal="center" vertical="center" wrapText="1" readingOrder="1"/>
    </xf>
    <xf numFmtId="0" fontId="35" fillId="0" borderId="0" xfId="0" applyFont="1"/>
    <xf numFmtId="0" fontId="41" fillId="0" borderId="1" xfId="0" applyFont="1" applyBorder="1" applyAlignment="1">
      <alignment vertical="top"/>
    </xf>
    <xf numFmtId="0" fontId="43" fillId="0" borderId="0" xfId="0" applyFont="1"/>
    <xf numFmtId="0" fontId="12" fillId="4" borderId="0" xfId="0" applyFont="1" applyFill="1" applyAlignment="1">
      <alignment horizontal="center" vertical="center" wrapText="1" readingOrder="1"/>
    </xf>
    <xf numFmtId="0" fontId="40" fillId="0" borderId="0" xfId="0" applyFont="1" applyAlignment="1">
      <alignment vertical="top"/>
    </xf>
    <xf numFmtId="0" fontId="43" fillId="0" borderId="0" xfId="0" applyFont="1" applyAlignment="1">
      <alignment vertical="top"/>
    </xf>
    <xf numFmtId="0" fontId="45" fillId="0" borderId="1" xfId="0" applyFont="1" applyBorder="1" applyAlignment="1">
      <alignment vertical="top"/>
    </xf>
    <xf numFmtId="164" fontId="46" fillId="0" borderId="1" xfId="0" applyNumberFormat="1" applyFont="1" applyBorder="1" applyAlignment="1">
      <alignment horizontal="center" vertical="center"/>
    </xf>
    <xf numFmtId="0" fontId="42" fillId="3" borderId="3" xfId="0" applyFont="1" applyFill="1" applyBorder="1" applyAlignment="1">
      <alignment horizontal="center" vertical="center" wrapText="1" readingOrder="1"/>
    </xf>
    <xf numFmtId="0" fontId="9" fillId="0" borderId="0" xfId="0" applyFont="1" applyAlignment="1">
      <alignment vertical="top"/>
    </xf>
    <xf numFmtId="0" fontId="47" fillId="0" borderId="0" xfId="0" applyFont="1" applyAlignment="1">
      <alignment vertical="top"/>
    </xf>
    <xf numFmtId="0" fontId="44" fillId="0" borderId="0" xfId="0" applyFont="1" applyAlignment="1">
      <alignment vertical="top"/>
    </xf>
    <xf numFmtId="0" fontId="9" fillId="0" borderId="1" xfId="0" applyFont="1" applyBorder="1" applyAlignment="1">
      <alignment vertical="top"/>
    </xf>
    <xf numFmtId="0" fontId="35" fillId="0" borderId="1" xfId="0" applyFont="1" applyBorder="1" applyAlignment="1">
      <alignment vertical="top"/>
    </xf>
    <xf numFmtId="0" fontId="46" fillId="0" borderId="0" xfId="0" applyFont="1" applyAlignment="1">
      <alignment vertical="top"/>
    </xf>
    <xf numFmtId="0" fontId="33" fillId="5" borderId="9" xfId="0" applyFont="1" applyFill="1" applyBorder="1" applyAlignment="1" applyProtection="1">
      <alignment horizontal="center" vertical="center" readingOrder="1"/>
      <protection locked="0"/>
    </xf>
    <xf numFmtId="0" fontId="47" fillId="0" borderId="1" xfId="0" applyFont="1" applyBorder="1" applyAlignment="1">
      <alignment vertical="top"/>
    </xf>
    <xf numFmtId="0" fontId="43" fillId="0" borderId="1" xfId="0" applyFont="1" applyBorder="1" applyAlignment="1">
      <alignment vertical="top"/>
    </xf>
    <xf numFmtId="2" fontId="47" fillId="0" borderId="1" xfId="0" applyNumberFormat="1" applyFont="1" applyBorder="1" applyAlignment="1">
      <alignment horizontal="center" vertical="top"/>
    </xf>
    <xf numFmtId="0" fontId="47" fillId="0" borderId="1" xfId="0" applyFont="1" applyBorder="1" applyAlignment="1">
      <alignment horizontal="center" vertical="top"/>
    </xf>
    <xf numFmtId="0" fontId="43" fillId="0" borderId="0" xfId="0" applyFont="1" applyAlignment="1">
      <alignment horizontal="center" vertical="top"/>
    </xf>
    <xf numFmtId="0" fontId="0" fillId="0" borderId="34" xfId="0" applyBorder="1"/>
    <xf numFmtId="0" fontId="48" fillId="5" borderId="9" xfId="0" applyFont="1" applyFill="1" applyBorder="1" applyAlignment="1">
      <alignment horizontal="left" vertical="top" wrapText="1" readingOrder="1"/>
    </xf>
    <xf numFmtId="0" fontId="33" fillId="36" borderId="9" xfId="0" applyFont="1" applyFill="1" applyBorder="1" applyAlignment="1">
      <alignment horizontal="center" vertical="center" readingOrder="1"/>
    </xf>
    <xf numFmtId="0" fontId="48" fillId="36" borderId="9" xfId="0" applyFont="1" applyFill="1" applyBorder="1" applyAlignment="1">
      <alignment horizontal="left" vertical="top" wrapText="1" readingOrder="1"/>
    </xf>
    <xf numFmtId="0" fontId="4" fillId="3" borderId="8" xfId="0" applyFont="1" applyFill="1" applyBorder="1" applyAlignment="1">
      <alignment horizontal="left" vertical="center" wrapText="1" readingOrder="1"/>
    </xf>
    <xf numFmtId="0" fontId="4" fillId="3" borderId="13" xfId="0" applyFont="1" applyFill="1" applyBorder="1" applyAlignment="1">
      <alignment horizontal="center" vertical="center" wrapText="1" readingOrder="1"/>
    </xf>
    <xf numFmtId="0" fontId="32" fillId="36" borderId="9" xfId="0" applyFont="1" applyFill="1" applyBorder="1" applyAlignment="1">
      <alignment horizontal="center" vertical="center" readingOrder="1"/>
    </xf>
    <xf numFmtId="0" fontId="32" fillId="5" borderId="9" xfId="0" applyFont="1" applyFill="1" applyBorder="1" applyAlignment="1">
      <alignment horizontal="left" vertical="top" wrapText="1" readingOrder="1"/>
    </xf>
    <xf numFmtId="0" fontId="32" fillId="36" borderId="9" xfId="0" applyFont="1" applyFill="1" applyBorder="1" applyAlignment="1">
      <alignment horizontal="left" vertical="top" wrapText="1" readingOrder="1"/>
    </xf>
    <xf numFmtId="0" fontId="3" fillId="4" borderId="5" xfId="0" applyFont="1" applyFill="1" applyBorder="1" applyAlignment="1">
      <alignment horizontal="center" vertical="center" wrapText="1" readingOrder="1"/>
    </xf>
    <xf numFmtId="0" fontId="12" fillId="0" borderId="0" xfId="0" applyFont="1" applyAlignment="1">
      <alignment horizontal="center" vertical="center" wrapText="1" readingOrder="1"/>
    </xf>
    <xf numFmtId="0" fontId="4" fillId="0" borderId="0" xfId="0" applyFont="1" applyAlignment="1">
      <alignment horizontal="center" vertical="center" wrapText="1"/>
    </xf>
    <xf numFmtId="0" fontId="50" fillId="3" borderId="8" xfId="0" applyFont="1" applyFill="1" applyBorder="1" applyAlignment="1">
      <alignment horizontal="left" vertical="center" wrapText="1" readingOrder="1"/>
    </xf>
    <xf numFmtId="0" fontId="50" fillId="3" borderId="13" xfId="0" applyFont="1" applyFill="1" applyBorder="1" applyAlignment="1">
      <alignment horizontal="center" vertical="center" wrapText="1" readingOrder="1"/>
    </xf>
    <xf numFmtId="0" fontId="51" fillId="0" borderId="0" xfId="0" applyFont="1"/>
    <xf numFmtId="0" fontId="51" fillId="0" borderId="0" xfId="0" applyFont="1" applyAlignment="1">
      <alignment vertical="top"/>
    </xf>
    <xf numFmtId="0" fontId="50" fillId="3" borderId="14" xfId="0" applyFont="1" applyFill="1" applyBorder="1" applyAlignment="1">
      <alignment horizontal="center" vertical="center" wrapText="1" readingOrder="1"/>
    </xf>
    <xf numFmtId="0" fontId="52" fillId="0" borderId="0" xfId="0" applyFont="1" applyAlignment="1">
      <alignment vertical="top"/>
    </xf>
    <xf numFmtId="0" fontId="3" fillId="4" borderId="15" xfId="0" applyFont="1" applyFill="1" applyBorder="1" applyAlignment="1">
      <alignment vertical="center" wrapText="1" readingOrder="1"/>
    </xf>
    <xf numFmtId="0" fontId="16" fillId="6" borderId="21" xfId="0" applyFont="1" applyFill="1" applyBorder="1" applyAlignment="1">
      <alignment wrapText="1" readingOrder="1"/>
    </xf>
    <xf numFmtId="0" fontId="48" fillId="3" borderId="3" xfId="0" applyFont="1" applyFill="1" applyBorder="1" applyAlignment="1">
      <alignment horizontal="center" vertical="center" wrapText="1" readingOrder="1"/>
    </xf>
    <xf numFmtId="0" fontId="48" fillId="3" borderId="3" xfId="0" applyFont="1" applyFill="1" applyBorder="1" applyAlignment="1">
      <alignment horizontal="left" vertical="center" wrapText="1" readingOrder="1"/>
    </xf>
    <xf numFmtId="0" fontId="53" fillId="4" borderId="22" xfId="0" applyFont="1" applyFill="1" applyBorder="1" applyAlignment="1">
      <alignment vertical="center" wrapText="1" readingOrder="1"/>
    </xf>
    <xf numFmtId="0" fontId="54" fillId="5" borderId="9" xfId="0" applyFont="1" applyFill="1" applyBorder="1" applyAlignment="1">
      <alignment horizontal="left" vertical="top" wrapText="1" readingOrder="1"/>
    </xf>
    <xf numFmtId="0" fontId="54" fillId="36" borderId="9" xfId="0" applyFont="1" applyFill="1" applyBorder="1" applyAlignment="1">
      <alignment horizontal="left" vertical="top" wrapText="1" readingOrder="1"/>
    </xf>
    <xf numFmtId="0" fontId="55" fillId="4" borderId="5" xfId="0" applyFont="1" applyFill="1" applyBorder="1" applyAlignment="1">
      <alignment horizontal="center" vertical="center" wrapText="1" readingOrder="1"/>
    </xf>
    <xf numFmtId="0" fontId="13" fillId="4" borderId="15" xfId="0" applyFont="1" applyFill="1" applyBorder="1" applyAlignment="1">
      <alignment horizontal="left" vertical="center" wrapText="1" readingOrder="1"/>
    </xf>
    <xf numFmtId="0" fontId="17" fillId="6" borderId="0" xfId="0" applyFont="1" applyFill="1" applyAlignment="1">
      <alignment horizontal="center" wrapText="1" readingOrder="1"/>
    </xf>
    <xf numFmtId="0" fontId="57" fillId="5" borderId="16" xfId="0" applyFont="1" applyFill="1" applyBorder="1" applyAlignment="1" applyProtection="1">
      <alignment horizontal="center" vertical="center" wrapText="1"/>
      <protection locked="0"/>
    </xf>
    <xf numFmtId="0" fontId="58" fillId="5" borderId="16" xfId="0" applyFont="1" applyFill="1" applyBorder="1" applyAlignment="1" applyProtection="1">
      <alignment horizontal="center" vertical="center" wrapText="1"/>
      <protection locked="0"/>
    </xf>
    <xf numFmtId="0" fontId="58" fillId="5" borderId="10" xfId="0" applyFont="1" applyFill="1" applyBorder="1" applyAlignment="1" applyProtection="1">
      <alignment horizontal="center" vertical="center" wrapText="1"/>
      <protection locked="0"/>
    </xf>
    <xf numFmtId="0" fontId="56" fillId="0" borderId="0" xfId="41"/>
    <xf numFmtId="0" fontId="13" fillId="4" borderId="0" xfId="0" applyFont="1" applyFill="1" applyAlignment="1">
      <alignment vertical="center" wrapText="1" readingOrder="1"/>
    </xf>
    <xf numFmtId="0" fontId="4" fillId="38" borderId="0" xfId="0" applyFont="1" applyFill="1" applyAlignment="1" applyProtection="1">
      <alignment horizontal="center" vertical="center" wrapText="1"/>
      <protection locked="0"/>
    </xf>
    <xf numFmtId="0" fontId="59" fillId="0" borderId="0" xfId="0" applyFont="1"/>
    <xf numFmtId="0" fontId="60" fillId="4" borderId="36" xfId="0" applyFont="1" applyFill="1" applyBorder="1" applyAlignment="1">
      <alignment horizontal="center" vertical="center" wrapText="1" readingOrder="1"/>
    </xf>
    <xf numFmtId="0" fontId="60" fillId="37" borderId="37" xfId="0" applyFont="1" applyFill="1" applyBorder="1" applyAlignment="1">
      <alignment horizontal="center" vertical="center" wrapText="1" readingOrder="1"/>
    </xf>
    <xf numFmtId="0" fontId="60" fillId="37" borderId="38" xfId="0" applyFont="1" applyFill="1" applyBorder="1" applyAlignment="1">
      <alignment horizontal="center" vertical="center" wrapText="1" readingOrder="1"/>
    </xf>
    <xf numFmtId="0" fontId="60" fillId="4" borderId="45" xfId="0" applyFont="1" applyFill="1" applyBorder="1" applyAlignment="1">
      <alignment horizontal="center" vertical="center" wrapText="1" readingOrder="1"/>
    </xf>
    <xf numFmtId="0" fontId="62" fillId="5" borderId="39" xfId="0" applyFont="1" applyFill="1" applyBorder="1" applyAlignment="1" applyProtection="1">
      <alignment horizontal="center" vertical="top" wrapText="1"/>
      <protection locked="0"/>
    </xf>
    <xf numFmtId="0" fontId="62" fillId="5" borderId="12" xfId="0" applyFont="1" applyFill="1" applyBorder="1" applyAlignment="1" applyProtection="1">
      <alignment horizontal="center" vertical="top" wrapText="1"/>
      <protection locked="0"/>
    </xf>
    <xf numFmtId="0" fontId="62" fillId="5" borderId="46" xfId="0" applyFont="1" applyFill="1" applyBorder="1" applyAlignment="1" applyProtection="1">
      <alignment horizontal="center" vertical="top" wrapText="1"/>
      <protection locked="0"/>
    </xf>
    <xf numFmtId="0" fontId="62" fillId="5" borderId="15" xfId="0" applyFont="1" applyFill="1" applyBorder="1" applyAlignment="1" applyProtection="1">
      <alignment horizontal="center" vertical="top" wrapText="1"/>
      <protection locked="0"/>
    </xf>
    <xf numFmtId="0" fontId="62" fillId="5" borderId="41" xfId="0" applyFont="1" applyFill="1" applyBorder="1" applyAlignment="1" applyProtection="1">
      <alignment horizontal="center" vertical="top" wrapText="1"/>
      <protection locked="0"/>
    </xf>
    <xf numFmtId="0" fontId="62" fillId="5" borderId="42" xfId="0" applyFont="1" applyFill="1" applyBorder="1" applyAlignment="1" applyProtection="1">
      <alignment horizontal="center" vertical="top" wrapText="1"/>
      <protection locked="0"/>
    </xf>
    <xf numFmtId="0" fontId="62" fillId="5" borderId="50" xfId="0" applyFont="1" applyFill="1" applyBorder="1" applyAlignment="1" applyProtection="1">
      <alignment horizontal="center" vertical="top" wrapText="1"/>
      <protection locked="0"/>
    </xf>
    <xf numFmtId="0" fontId="62" fillId="5" borderId="47" xfId="0" applyFont="1" applyFill="1" applyBorder="1" applyAlignment="1" applyProtection="1">
      <alignment horizontal="center" vertical="top" wrapText="1"/>
      <protection locked="0"/>
    </xf>
    <xf numFmtId="0" fontId="62" fillId="5" borderId="44" xfId="0" applyFont="1" applyFill="1" applyBorder="1" applyAlignment="1" applyProtection="1">
      <alignment vertical="top" wrapText="1"/>
      <protection locked="0"/>
    </xf>
    <xf numFmtId="0" fontId="62" fillId="5" borderId="48" xfId="0" applyFont="1" applyFill="1" applyBorder="1" applyAlignment="1" applyProtection="1">
      <alignment horizontal="center" vertical="top" wrapText="1"/>
      <protection locked="0"/>
    </xf>
    <xf numFmtId="0" fontId="62" fillId="5" borderId="43" xfId="0" applyFont="1" applyFill="1" applyBorder="1" applyAlignment="1" applyProtection="1">
      <alignment horizontal="center" vertical="top" wrapText="1"/>
      <protection locked="0"/>
    </xf>
    <xf numFmtId="0" fontId="62" fillId="5" borderId="44" xfId="0" applyFont="1" applyFill="1" applyBorder="1" applyAlignment="1" applyProtection="1">
      <alignment horizontal="center" vertical="top" wrapText="1"/>
      <protection locked="0"/>
    </xf>
    <xf numFmtId="0" fontId="4" fillId="6" borderId="8" xfId="0" applyFont="1" applyFill="1" applyBorder="1" applyAlignment="1">
      <alignment horizontal="left" vertical="center" wrapText="1"/>
    </xf>
    <xf numFmtId="0" fontId="62" fillId="5" borderId="39" xfId="0" applyFont="1" applyFill="1" applyBorder="1" applyAlignment="1" applyProtection="1">
      <alignment horizontal="center" vertical="center" wrapText="1"/>
      <protection locked="0"/>
    </xf>
    <xf numFmtId="0" fontId="62" fillId="5" borderId="12" xfId="0" applyFont="1" applyFill="1" applyBorder="1" applyAlignment="1" applyProtection="1">
      <alignment horizontal="center" vertical="center" wrapText="1"/>
      <protection locked="0"/>
    </xf>
    <xf numFmtId="0" fontId="62" fillId="5" borderId="46" xfId="0" applyFont="1" applyFill="1" applyBorder="1" applyAlignment="1" applyProtection="1">
      <alignment horizontal="center" vertical="center" wrapText="1"/>
      <protection locked="0"/>
    </xf>
    <xf numFmtId="0" fontId="62" fillId="5" borderId="40" xfId="0" applyFont="1" applyFill="1" applyBorder="1" applyAlignment="1" applyProtection="1">
      <alignment horizontal="center" vertical="center" wrapText="1"/>
      <protection locked="0"/>
    </xf>
    <xf numFmtId="0" fontId="62" fillId="5" borderId="15" xfId="0" applyFont="1" applyFill="1" applyBorder="1" applyAlignment="1" applyProtection="1">
      <alignment horizontal="center" vertical="center" wrapText="1"/>
      <protection locked="0"/>
    </xf>
    <xf numFmtId="0" fontId="62" fillId="5" borderId="41" xfId="0" applyFont="1" applyFill="1" applyBorder="1" applyAlignment="1" applyProtection="1">
      <alignment horizontal="center" vertical="center" wrapText="1"/>
      <protection locked="0"/>
    </xf>
    <xf numFmtId="0" fontId="4" fillId="5" borderId="35" xfId="0" applyFont="1" applyFill="1" applyBorder="1" applyAlignment="1" applyProtection="1">
      <alignment horizontal="left" vertical="center" wrapText="1"/>
      <protection locked="0"/>
    </xf>
    <xf numFmtId="0" fontId="4" fillId="5" borderId="15" xfId="0" applyFont="1" applyFill="1" applyBorder="1" applyAlignment="1" applyProtection="1">
      <alignment horizontal="left" vertical="center" wrapText="1"/>
      <protection locked="0"/>
    </xf>
    <xf numFmtId="0" fontId="58" fillId="5" borderId="10" xfId="0" applyFont="1" applyFill="1" applyBorder="1" applyAlignment="1" applyProtection="1">
      <alignment horizontal="left" vertical="top" wrapText="1"/>
      <protection locked="0"/>
    </xf>
    <xf numFmtId="0" fontId="4" fillId="5" borderId="9" xfId="0" applyFont="1" applyFill="1" applyBorder="1" applyAlignment="1" applyProtection="1">
      <alignment horizontal="center" vertical="center" wrapText="1" readingOrder="1"/>
      <protection locked="0"/>
    </xf>
    <xf numFmtId="0" fontId="4" fillId="38" borderId="10" xfId="0" applyFont="1" applyFill="1" applyBorder="1" applyAlignment="1" applyProtection="1">
      <alignment horizontal="center" vertical="center" wrapText="1"/>
      <protection locked="0"/>
    </xf>
    <xf numFmtId="0" fontId="11" fillId="4" borderId="24" xfId="0" applyFont="1" applyFill="1" applyBorder="1" applyAlignment="1">
      <alignment horizontal="center" vertical="center" wrapText="1" readingOrder="1"/>
    </xf>
    <xf numFmtId="0" fontId="17" fillId="6" borderId="25" xfId="0" applyFont="1" applyFill="1" applyBorder="1" applyAlignment="1">
      <alignment horizontal="center" wrapText="1" readingOrder="1"/>
    </xf>
    <xf numFmtId="0" fontId="56" fillId="0" borderId="0" xfId="41" applyAlignment="1">
      <alignment horizontal="center" wrapText="1"/>
    </xf>
    <xf numFmtId="0" fontId="11" fillId="4" borderId="20" xfId="0" applyFont="1" applyFill="1" applyBorder="1" applyAlignment="1">
      <alignment horizontal="center" vertical="center" readingOrder="1"/>
    </xf>
    <xf numFmtId="0" fontId="4" fillId="5" borderId="19" xfId="0" applyFont="1" applyFill="1" applyBorder="1" applyAlignment="1" applyProtection="1">
      <alignment horizontal="center" vertical="center" wrapText="1"/>
      <protection locked="0"/>
    </xf>
    <xf numFmtId="0" fontId="4" fillId="5" borderId="0" xfId="0" applyFont="1" applyFill="1" applyAlignment="1" applyProtection="1">
      <alignment horizontal="center" vertical="center" wrapText="1"/>
      <protection locked="0"/>
    </xf>
    <xf numFmtId="0" fontId="4" fillId="5" borderId="22" xfId="0" applyFont="1" applyFill="1" applyBorder="1" applyAlignment="1" applyProtection="1">
      <alignment horizontal="center" vertical="center" wrapText="1"/>
      <protection locked="0"/>
    </xf>
    <xf numFmtId="0" fontId="4" fillId="5" borderId="11" xfId="0" applyFont="1" applyFill="1" applyBorder="1" applyAlignment="1" applyProtection="1">
      <alignment horizontal="center" vertical="center" wrapText="1"/>
      <protection locked="0"/>
    </xf>
    <xf numFmtId="0" fontId="60" fillId="4" borderId="15" xfId="0" applyFont="1" applyFill="1" applyBorder="1" applyAlignment="1">
      <alignment horizontal="center" vertical="center" wrapText="1" readingOrder="1"/>
    </xf>
    <xf numFmtId="0" fontId="61" fillId="6" borderId="20" xfId="0" applyFont="1" applyFill="1" applyBorder="1" applyAlignment="1">
      <alignment wrapText="1" readingOrder="1"/>
    </xf>
    <xf numFmtId="0" fontId="11" fillId="4" borderId="18" xfId="0" applyFont="1" applyFill="1" applyBorder="1" applyAlignment="1">
      <alignment horizontal="center" vertical="center" wrapText="1" readingOrder="1"/>
    </xf>
    <xf numFmtId="0" fontId="17" fillId="6" borderId="15" xfId="0" applyFont="1" applyFill="1" applyBorder="1" applyAlignment="1">
      <alignment wrapText="1" readingOrder="1"/>
    </xf>
    <xf numFmtId="0" fontId="17" fillId="6" borderId="0" xfId="0" applyFont="1" applyFill="1" applyAlignment="1">
      <alignment horizontal="center" wrapText="1" readingOrder="1"/>
    </xf>
    <xf numFmtId="0" fontId="16" fillId="6" borderId="49" xfId="0" applyFont="1" applyFill="1" applyBorder="1" applyAlignment="1">
      <alignment horizontal="center" wrapText="1" readingOrder="1"/>
    </xf>
    <xf numFmtId="0" fontId="33" fillId="3" borderId="18" xfId="0" applyFont="1" applyFill="1" applyBorder="1" applyAlignment="1">
      <alignment horizontal="left" vertical="center" wrapText="1" readingOrder="1"/>
    </xf>
    <xf numFmtId="0" fontId="33" fillId="3" borderId="0" xfId="0" applyFont="1" applyFill="1" applyAlignment="1">
      <alignment horizontal="left" vertical="center" wrapText="1" readingOrder="1"/>
    </xf>
    <xf numFmtId="0" fontId="33" fillId="3" borderId="51" xfId="0" applyFont="1" applyFill="1" applyBorder="1" applyAlignment="1">
      <alignment horizontal="left" vertical="center" wrapText="1" readingOrder="1"/>
    </xf>
    <xf numFmtId="0" fontId="33" fillId="3" borderId="52" xfId="0" applyFont="1" applyFill="1" applyBorder="1" applyAlignment="1">
      <alignment horizontal="left" vertical="center" wrapText="1" readingOrder="1"/>
    </xf>
    <xf numFmtId="0" fontId="8" fillId="3" borderId="7" xfId="0" applyFont="1" applyFill="1" applyBorder="1" applyAlignment="1">
      <alignment horizontal="left" vertical="center" wrapText="1" readingOrder="1"/>
    </xf>
    <xf numFmtId="0" fontId="8" fillId="3" borderId="8" xfId="0" applyFont="1" applyFill="1" applyBorder="1" applyAlignment="1">
      <alignment horizontal="left" vertical="center" wrapText="1" readingOrder="1"/>
    </xf>
    <xf numFmtId="0" fontId="3" fillId="4" borderId="5" xfId="0" applyFont="1" applyFill="1" applyBorder="1" applyAlignment="1">
      <alignment horizontal="center" vertical="center" wrapText="1" readingOrder="1"/>
    </xf>
    <xf numFmtId="0" fontId="3" fillId="4" borderId="6" xfId="0" applyFont="1" applyFill="1" applyBorder="1" applyAlignment="1">
      <alignment horizontal="center" vertical="center" wrapText="1" readingOrder="1"/>
    </xf>
    <xf numFmtId="0" fontId="8" fillId="3" borderId="7" xfId="0" applyFont="1" applyFill="1" applyBorder="1" applyAlignment="1">
      <alignment horizontal="left" vertical="center" readingOrder="1"/>
    </xf>
    <xf numFmtId="0" fontId="8" fillId="3" borderId="8" xfId="0" applyFont="1" applyFill="1" applyBorder="1" applyAlignment="1">
      <alignment horizontal="left" vertical="center" readingOrder="1"/>
    </xf>
  </cellXfs>
  <cellStyles count="42">
    <cellStyle name="20 % - Akzent1" xfId="1" xr:uid="{4113E811-A22C-4CEF-842C-37AA5798C4A3}"/>
    <cellStyle name="20 % - Akzent2" xfId="2" xr:uid="{9632D6E6-BC31-40BC-8B4C-1FC888996BAC}"/>
    <cellStyle name="20 % - Akzent3" xfId="3" xr:uid="{FCC38C3A-6FB4-41CE-98D3-E7F9FC0452B6}"/>
    <cellStyle name="20 % - Akzent4" xfId="4" xr:uid="{174CD5E4-422D-43E6-92C6-9E98BC5B9BC1}"/>
    <cellStyle name="20 % - Akzent5" xfId="5" xr:uid="{8DC26D12-8C4F-468E-97B3-B30C5D1B9F40}"/>
    <cellStyle name="20 % - Akzent6" xfId="6" xr:uid="{B12562B2-FB22-49C9-BDA5-3A9420DF4A9A}"/>
    <cellStyle name="40 % - Akzent1" xfId="7" xr:uid="{7F690771-0A25-46E7-B1E7-BB9C94E5DC44}"/>
    <cellStyle name="40 % - Akzent2" xfId="8" xr:uid="{2FFEF6AF-5D37-4CA8-AAE6-4357B15A59B7}"/>
    <cellStyle name="40 % - Akzent3" xfId="9" xr:uid="{62DDB504-A7E2-4B06-A55B-6B2E1692F354}"/>
    <cellStyle name="40 % - Akzent4" xfId="10" xr:uid="{C48877DF-0E40-49B6-88E2-3C159ACA423C}"/>
    <cellStyle name="40 % - Akzent5" xfId="11" xr:uid="{2C287C42-CE67-4946-BE7F-8C540E75B2B0}"/>
    <cellStyle name="40 % - Akzent6" xfId="12" xr:uid="{FE80C7B6-E63C-4CDB-84B0-FB7D2887B64C}"/>
    <cellStyle name="60 % - Akzent1" xfId="13" xr:uid="{F216498D-6EBE-4187-94A6-FE48DACA32DC}"/>
    <cellStyle name="60 % - Akzent2" xfId="14" xr:uid="{4A1AB8FB-570D-4C11-80F2-BF7BA36C3837}"/>
    <cellStyle name="60 % - Akzent3" xfId="15" xr:uid="{BDA7FA28-9A10-4D07-9FF4-3B8BBA549EF1}"/>
    <cellStyle name="60 % - Akzent4" xfId="16" xr:uid="{A12E0092-229A-47A7-BF75-E4AD8601F942}"/>
    <cellStyle name="60 % - Akzent5" xfId="17" xr:uid="{C4870177-EACA-49EA-A93F-EA748AFF52A0}"/>
    <cellStyle name="60 % - Akzent6" xfId="18" xr:uid="{0B01C0C3-989E-405E-AD01-3B7E98CD4F3B}"/>
    <cellStyle name="Akzent1" xfId="19" xr:uid="{E85ABD34-DA48-4449-9E60-F63555504376}"/>
    <cellStyle name="Akzent2" xfId="20" xr:uid="{4011EE35-D2D5-4C24-9757-AEDAB1E11A8F}"/>
    <cellStyle name="Akzent3" xfId="21" xr:uid="{C13312AC-3FAB-4650-B967-50673628EDAC}"/>
    <cellStyle name="Akzent4" xfId="22" xr:uid="{315D0C53-5F6C-4EDA-9297-42E810E57B2C}"/>
    <cellStyle name="Akzent5" xfId="23" xr:uid="{9C55182E-02B8-476E-8BBF-C650020B665B}"/>
    <cellStyle name="Akzent6" xfId="24" xr:uid="{9D9370FB-9382-4CAA-811F-3165D7D69872}"/>
    <cellStyle name="Ausgabe" xfId="25" xr:uid="{D41CF3B4-A8E4-4C28-95D7-E9E0FE3B1459}"/>
    <cellStyle name="Berechnung" xfId="26" xr:uid="{C08FA2B7-D1AB-42F4-9DE2-E77EFE03984F}"/>
    <cellStyle name="Eingabe" xfId="27" xr:uid="{5BB19B1B-DBCF-4F85-B6CF-287B24BB4D39}"/>
    <cellStyle name="Ergebnis" xfId="28" xr:uid="{4E735DC8-3149-4F33-85EB-B4F208C7AFA4}"/>
    <cellStyle name="Erklärender Text" xfId="29" xr:uid="{833B80BB-30C2-4BC7-B3F2-68CF7B49F490}"/>
    <cellStyle name="Gut" xfId="30" xr:uid="{84A9CE66-6350-4626-A6D2-39FEAAEDC867}"/>
    <cellStyle name="Hyperlink" xfId="41" builtinId="8"/>
    <cellStyle name="Normal" xfId="0" builtinId="0"/>
    <cellStyle name="Notiz" xfId="31" xr:uid="{A81F0719-3913-4CE9-967E-C923D554E1A2}"/>
    <cellStyle name="Schlecht" xfId="32" xr:uid="{D99F6D04-CDCE-4D56-B095-ED3BDA6525BE}"/>
    <cellStyle name="Überschrift" xfId="33" xr:uid="{C4F2EA3C-AEB6-4117-8901-79010039FAAA}"/>
    <cellStyle name="Überschrift 1" xfId="34" xr:uid="{E0F89C5C-27E3-4452-B0BA-9C567B7FEE25}"/>
    <cellStyle name="Überschrift 2" xfId="35" xr:uid="{BFBFFE08-9CF8-4C3F-9D5A-945929C00444}"/>
    <cellStyle name="Überschrift 3" xfId="36" xr:uid="{7477CE96-E076-41C6-8718-9B079459460C}"/>
    <cellStyle name="Überschrift 4" xfId="37" xr:uid="{C4A655D2-62FA-4C50-901E-16AFEDA8A56D}"/>
    <cellStyle name="Verknüpfte Zelle" xfId="38" xr:uid="{70A0F004-6D32-4EB0-B508-BF2F7C72FF68}"/>
    <cellStyle name="Warnender Text" xfId="39" xr:uid="{BD8DCD1A-82C8-4531-A666-EB09229D5CCD}"/>
    <cellStyle name="Zelle überprüfen" xfId="40" xr:uid="{2550E0D7-AE73-4C96-944A-CF3C7A43D047}"/>
  </cellStyles>
  <dxfs count="15">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mruColors>
      <color rgb="FF3C3D3E"/>
      <color rgb="FFDFECF1"/>
      <color rgb="FFCBE3EA"/>
      <color rgb="FFDAE8EE"/>
      <color rgb="FFD4E5EC"/>
      <color rgb="FFCADFE8"/>
      <color rgb="FFCDE1E9"/>
      <color rgb="FFCEE2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-3175</xdr:colOff>
      <xdr:row>0</xdr:row>
      <xdr:rowOff>0</xdr:rowOff>
    </xdr:from>
    <xdr:to>
      <xdr:col>6</xdr:col>
      <xdr:colOff>482787</xdr:colOff>
      <xdr:row>18</xdr:row>
      <xdr:rowOff>123825</xdr:rowOff>
    </xdr:to>
    <xdr:pic>
      <xdr:nvPicPr>
        <xdr:cNvPr id="2" name="Picture 1">
          <a:extLst>
            <a:ext uri="{FF2B5EF4-FFF2-40B4-BE49-F238E27FC236}">
              <a16:creationId xmlns:a16="http://schemas.microsoft.com/office/drawing/2014/main" id="{B4CCDB0A-A693-4126-8855-A7A3B258146B}"/>
            </a:ext>
          </a:extLst>
        </xdr:cNvPr>
        <xdr:cNvPicPr>
          <a:picLocks noChangeAspect="1"/>
        </xdr:cNvPicPr>
      </xdr:nvPicPr>
      <xdr:blipFill>
        <a:blip xmlns:r="http://schemas.openxmlformats.org/officeDocument/2006/relationships" r:embed="rId1"/>
        <a:stretch>
          <a:fillRect/>
        </a:stretch>
      </xdr:blipFill>
      <xdr:spPr>
        <a:xfrm>
          <a:off x="-3175" y="0"/>
          <a:ext cx="7086787" cy="4152900"/>
        </a:xfrm>
        <a:prstGeom prst="rect">
          <a:avLst/>
        </a:prstGeom>
      </xdr:spPr>
    </xdr:pic>
    <xdr:clientData/>
  </xdr:twoCellAnchor>
  <xdr:twoCellAnchor editAs="oneCell">
    <xdr:from>
      <xdr:col>0</xdr:col>
      <xdr:colOff>15875</xdr:colOff>
      <xdr:row>29</xdr:row>
      <xdr:rowOff>38100</xdr:rowOff>
    </xdr:from>
    <xdr:to>
      <xdr:col>5</xdr:col>
      <xdr:colOff>333436</xdr:colOff>
      <xdr:row>45</xdr:row>
      <xdr:rowOff>91192</xdr:rowOff>
    </xdr:to>
    <xdr:pic>
      <xdr:nvPicPr>
        <xdr:cNvPr id="4" name="Picture 3">
          <a:extLst>
            <a:ext uri="{FF2B5EF4-FFF2-40B4-BE49-F238E27FC236}">
              <a16:creationId xmlns:a16="http://schemas.microsoft.com/office/drawing/2014/main" id="{AA25B774-A0C2-4D7C-BCB9-D924DA890225}"/>
            </a:ext>
            <a:ext uri="{147F2762-F138-4A5C-976F-8EAC2B608ADB}">
              <a16:predDERef xmlns:a16="http://schemas.microsoft.com/office/drawing/2014/main" pred="{B4CCDB0A-A693-4126-8855-A7A3B258146B}"/>
            </a:ext>
          </a:extLst>
        </xdr:cNvPr>
        <xdr:cNvPicPr>
          <a:picLocks noChangeAspect="1"/>
        </xdr:cNvPicPr>
      </xdr:nvPicPr>
      <xdr:blipFill>
        <a:blip xmlns:r="http://schemas.openxmlformats.org/officeDocument/2006/relationships" r:embed="rId2"/>
        <a:stretch>
          <a:fillRect/>
        </a:stretch>
      </xdr:blipFill>
      <xdr:spPr>
        <a:xfrm>
          <a:off x="15875" y="6162675"/>
          <a:ext cx="6308786" cy="31010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i764\AppData\Local\Microsoft\Windows\INetCache\Content.Outlook\OT1MAMZO\12%20Audit_Conclusion_v2024.xlsx" TargetMode="External"/><Relationship Id="rId1" Type="http://schemas.openxmlformats.org/officeDocument/2006/relationships/externalLinkPath" Target="file:///C:\Users\ri764\AppData\Local\Microsoft\Windows\INetCache\Content.Outlook\OT1MAMZO\12%20Audit_Conclusion_v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egend"/>
      <sheetName val="Audit conclusion"/>
      <sheetName val="Internal People &amp; Staff"/>
      <sheetName val="Sheet1"/>
      <sheetName val="Processes"/>
      <sheetName val="Internal Systems"/>
      <sheetName val="External"/>
      <sheetName val="IS Risk Assessment"/>
      <sheetName val="IS Risk Assessment New"/>
      <sheetName val="Dropdown lists"/>
    </sheetNames>
    <sheetDataSet>
      <sheetData sheetId="0"/>
      <sheetData sheetId="1">
        <row r="3">
          <cell r="D3" t="str">
            <v>2024-0XX</v>
          </cell>
        </row>
      </sheetData>
      <sheetData sheetId="2">
        <row r="3">
          <cell r="E3" t="str">
            <v>Management of insurance policies (create, maintain, cancel)</v>
          </cell>
        </row>
      </sheetData>
      <sheetData sheetId="3"/>
      <sheetData sheetId="4">
        <row r="3">
          <cell r="B3" t="str">
            <v>Audit No.</v>
          </cell>
        </row>
      </sheetData>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person displayName="Milos Medrik" id="{A60694E4-EEE6-41C9-B90E-A3EFD62B8F18}" userId="S::ag452@deutsche-boerse.com::8f929376-5da1-4598-bc4e-c0801d4ab16c" providerId="AD"/>
  <person displayName="Bertrand Thiault" id="{485D0960-7D1F-4632-A1B0-0C96F180CFDF}" userId="S::ir807@deutsche-boerse.com::6ec0f143-c5ed-453e-a578-901b869fa7d7" providerId="AD"/>
  <person displayName="Dietmar Hinkel" id="{AFA6EF8C-2F21-4B24-9056-206C96B896C3}" userId="S::ks930@deutsche-boerse.com::01a7c881-0228-48cb-9e6c-a56f1cbf1f66" providerId="AD"/>
  <person displayName="Anvay Walavalkar" id="{049F3333-A6BE-437D-9C84-7628A734862C}" userId="S::kv057@deutsche-boerse.com::a260aff1-febc-43bd-aec9-8bee85881e0e" providerId="AD"/>
  <person displayName="Fabrice Moreira" id="{862DF262-B4D6-47EC-94D4-9185C64407F0}" userId="S::nl568@deutsche-boerse.com::24a7172b-3351-4fac-a56b-8f97ea321d4d" providerId="AD"/>
  <person displayName="Milica Nikolic" id="{7BDECF1E-3A35-4BEA-9CC7-5817A78FFF30}" userId="S::rg977@deutsche-boerse.com::a09d13ea-f66c-4efd-acf3-30c710a6b35b" providerId="AD"/>
  <person displayName="Predrag Adamovic" id="{E2E8A0A6-0A28-4405-866F-35C564B9BDEA}" userId="S::rl216@deutsche-boerse.com::c3e422bd-acb9-4270-8412-726df7f643d8" providerId="AD"/>
  <person displayName="Valerie Aubert" id="{B6AFFE72-8211-4A84-A765-2DB215ABD0DC}" userId="S::wl606@deutsche-boerse.com::a7eb6eec-89f2-4af3-b6f1-9db0e04045f2" providerId="AD"/>
  <person displayName="Yezad Wadia" id="{31A08D78-5D38-4AB7-9AC8-0DCEEDDBB7FD}" userId="S::zw767@deutsche-boerse.com::ed6f0b86-159b-40d1-ac16-d2c304b5e357"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C7" dT="2024-05-06T09:01:18.70" personId="{862DF262-B4D6-47EC-94D4-9185C64407F0}" id="{DC5D42E5-CF0D-43CE-9852-68C621AEF523}" done="1">
    <text>Take into account applicable Open and Closed internal/ external findings and their Severity</text>
  </threadedComment>
  <threadedComment ref="AC7" dT="2025-05-12T07:48:12.82" personId="{7BDECF1E-3A35-4BEA-9CC7-5817A78FFF30}" id="{E60DB32E-C33A-40B9-BB1E-E321B83702A3}" parentId="{DC5D42E5-CF0D-43CE-9852-68C621AEF523}">
    <text>Please also take into consideration open Self Identified Issues when assessing the Control Maturity Indicator</text>
  </threadedComment>
  <threadedComment ref="AF7" dT="2024-04-23T12:28:49.91" personId="{7BDECF1E-3A35-4BEA-9CC7-5817A78FFF30}" id="{9975D22B-F1DD-4FB7-9836-516A08965974}" done="1">
    <text>Please make sure that your proposal for the creation or renaming of L2 needs to take into consideration that SAP SAM allows the whole name to have max 100 characters. With the Naming AU-xxx-xx- that leaves in total 89 characters for the name of the process.</text>
  </threadedComment>
  <threadedComment ref="AZ7" dT="2025-02-13T13:52:21.90" personId="{7BDECF1E-3A35-4BEA-9CC7-5817A78FFF30}" id="{A1BDF21B-4B3A-4CB0-8629-114C1C91EAF0}" done="1">
    <text xml:space="preserve">Please make sure to update DA repository in the tab DA used cases. If you only have idea on possible application of DA but have not implemented it, you have a special tab DA ideas to populate. </text>
  </threadedComment>
  <threadedComment ref="AA8" dT="2025-09-08T07:05:04.69" personId="{E2E8A0A6-0A28-4405-866F-35C564B9BDEA}" id="{81DBAF51-6D33-4176-A2F0-568873029259}" done="1">
    <text>Per definition in cell AA6, this field is used only to indicate any mandatory audit frequency defined by the regulatory requirements. You have documented properly for CSDR L2, which is a typical example to be noted in this field. Please check if any of the remaining L2s have such requirements, and remove the frequency and comment if not required.</text>
  </threadedComment>
  <threadedComment ref="AA8" dT="2025-09-09T05:18:53.65" personId="{31A08D78-5D38-4AB7-9AC8-0DCEEDDBB7FD}" id="{98C935EA-4B87-4E10-BA2B-13E4DF2C474E}" parentId="{81DBAF51-6D33-4176-A2F0-568873029259}">
    <text>Updated</text>
  </threadedComment>
  <threadedComment ref="AD8" dT="2025-09-08T07:14:40.21" personId="{E2E8A0A6-0A28-4405-866F-35C564B9BDEA}" id="{D1B4F0E4-5602-428F-9D48-AE726313FCFF}" done="1">
    <text>The point related to IS framework gaps belongs to AU-109-01-Cyber &amp; IS Governance L2. Once we remove that, I am missing the justification why CMI is considered weak here.</text>
  </threadedComment>
  <threadedComment ref="AD8" dT="2025-09-09T05:25:01.62" personId="{31A08D78-5D38-4AB7-9AC8-0DCEEDDBB7FD}" id="{F0C64AB2-9E21-4260-9040-22911F845F88}" parentId="{D1B4F0E4-5602-428F-9D48-AE726313FCFF}">
    <text>Changed to Developed and IR  rating to Medium</text>
  </threadedComment>
  <threadedComment ref="AF8" dT="2025-09-08T07:21:33.30" personId="{E2E8A0A6-0A28-4405-866F-35C564B9BDEA}" id="{F1E47019-1B3C-4851-8EAF-271A3500508A}" done="1">
    <text>This is much appreciated!
I suppose this is an update of the existing descriptions.
I would still make a distinction between formal AU changes (e.g. merging L2s) and L2 scope definitions. My proposal is to note in this cell that you are proposing an L2 description enhancement. Perhaps even moving the actual proposal into next cell - Comment.
Please do this for all cells below where applicable.</text>
  </threadedComment>
  <threadedComment ref="AF8" dT="2025-09-09T05:28:00.14" personId="{31A08D78-5D38-4AB7-9AC8-0DCEEDDBB7FD}" id="{233BA5EA-CC06-474B-834F-1F58F2156EB6}" parentId="{F1E47019-1B3C-4851-8EAF-271A3500508A}">
    <text>Changes made</text>
  </threadedComment>
  <threadedComment ref="AY8" dT="2025-09-08T07:36:30.05" personId="{E2E8A0A6-0A28-4405-866F-35C564B9BDEA}" id="{96624D0E-5391-49F9-86E7-AEB419C7C06C}" done="1">
    <text>Please clarify - what is not in scope of this audit?
If changes made, please do the same for the items below, where applicable.</text>
  </threadedComment>
  <threadedComment ref="AY8" dT="2025-09-09T05:29:18.08" personId="{31A08D78-5D38-4AB7-9AC8-0DCEEDDBB7FD}" id="{E91B69AE-3CDE-4134-90CB-A406AD13438D}" parentId="{96624D0E-5391-49F9-86E7-AEB419C7C06C}">
    <text>Updated all places</text>
  </threadedComment>
  <threadedComment ref="AY9" dT="2025-09-08T07:37:38.57" personId="{E2E8A0A6-0A28-4405-866F-35C564B9BDEA}" id="{657F893A-B299-4DB5-996C-80C1EEBC68B7}" done="1">
    <text>Are you sure there are no structured data on ICT incidents?</text>
  </threadedComment>
  <threadedComment ref="AY9" dT="2025-09-09T05:30:02.06" personId="{31A08D78-5D38-4AB7-9AC8-0DCEEDDBB7FD}" id="{D9C39FDB-FAE4-4033-AFDA-ED45FFE8A48E}" parentId="{657F893A-B299-4DB5-996C-80C1EEBC68B7}">
    <text>Updated</text>
  </threadedComment>
  <threadedComment ref="Y10" dT="2025-09-08T07:44:53.51" personId="{E2E8A0A6-0A28-4405-866F-35C564B9BDEA}" id="{8D0B95E1-2591-4129-89D1-6B9FC19A737D}" done="1">
    <text>Rather generic and not directly related to the L2 and its IR assessment. Feel free to leverage on the more detailed L2 description/scope (as proposed in AF10) to justify the High IR - why are all the points grouped in this L2 critical for DBG.
Same comment for the L2 below.</text>
  </threadedComment>
  <threadedComment ref="Y10" dT="2025-09-09T05:34:13.20" personId="{31A08D78-5D38-4AB7-9AC8-0DCEEDDBB7FD}" id="{364C1629-EBB9-4FAB-82BB-8B85D430AFCE}" parentId="{8D0B95E1-2591-4129-89D1-6B9FC19A737D}">
    <text>updated</text>
  </threadedComment>
  <threadedComment ref="AF11" dT="2025-09-08T07:22:50.06" personId="{E2E8A0A6-0A28-4405-866F-35C564B9BDEA}" id="{F97B24F5-BA9A-4C68-A9A5-92008E84502A}" done="1">
    <text>“unsupported versions” - in which context?</text>
  </threadedComment>
  <threadedComment ref="AF11" dT="2025-09-09T05:35:20.87" personId="{31A08D78-5D38-4AB7-9AC8-0DCEEDDBB7FD}" id="{31F6FD91-BDE9-49B2-891D-CB34BB67C3F4}" parentId="{F97B24F5-BA9A-4C68-A9A5-92008E84502A}">
    <text>removed</text>
  </threadedComment>
  <threadedComment ref="AD12" dT="2025-09-08T08:09:33.83" personId="{E2E8A0A6-0A28-4405-866F-35C564B9BDEA}" id="{B2562F7B-4955-4C41-92F2-6C86E2D0F9FA}" done="1">
    <text>Just to confirm - your CMI assessment considered the open findings noted in Y12?</text>
  </threadedComment>
  <threadedComment ref="AD12" dT="2025-09-09T05:36:04.15" personId="{31A08D78-5D38-4AB7-9AC8-0DCEEDDBB7FD}" id="{566AF35E-446A-4963-8D96-BC7791506998}" parentId="{B2562F7B-4955-4C41-92F2-6C86E2D0F9FA}">
    <text>yes</text>
  </threadedComment>
  <threadedComment ref="AF12" dT="2025-09-08T07:23:30.93" personId="{E2E8A0A6-0A28-4405-866F-35C564B9BDEA}" id="{EE9FCCB0-9754-4AF2-8397-82938423CEF0}" done="1">
    <text>Proposal to remove the last statement</text>
  </threadedComment>
  <threadedComment ref="AF12" dT="2025-09-09T05:37:03.15" personId="{31A08D78-5D38-4AB7-9AC8-0DCEEDDBB7FD}" id="{54A63D76-5411-45E3-BCE6-0F46DC0DFC34}" parentId="{EE9FCCB0-9754-4AF2-8397-82938423CEF0}">
    <text>Ok, removed</text>
  </threadedComment>
  <threadedComment ref="W13" dT="2025-09-08T08:18:42.79" personId="{E2E8A0A6-0A28-4405-866F-35C564B9BDEA}" id="{0B6DAB96-B96C-4CF0-B4BB-DA09310C9EDA}" done="1">
    <text>For your consideration only: 
I understand that without anti-malware, encryption or SIEM, we would be the most easiest target in the world - hence the most critical IR. 
In my view, threat intelligence is ‘only’ enhancing those basic controls - but is still assessed with the same IR?</text>
  </threadedComment>
  <threadedComment ref="W13" dT="2025-09-09T05:37:47.60" personId="{31A08D78-5D38-4AB7-9AC8-0DCEEDDBB7FD}" id="{825DA22E-137A-4FBD-9E0D-88D403F65792}" parentId="{0B6DAB96-B96C-4CF0-B4BB-DA09310C9EDA}">
    <text>Revised to Medium by adjusting scores on other work tabs</text>
  </threadedComment>
  <threadedComment ref="AD14" dT="2025-09-17T14:47:24.83" personId="{B6AFFE72-8211-4A84-A765-2DB215ABD0DC}" id="{96DD9A8C-7922-4D4A-9973-636824291867}" done="1">
    <text>Question: from above L2s, should we conclude Develop or weak  / undefined because high dependency on the AMELI findings? In the end, we still have a yearly requirement but this is more to have a consistent approach</text>
  </threadedComment>
  <threadedComment ref="AD14" dT="2025-09-18T06:58:41.84" personId="{A60694E4-EEE6-41C9-B90E-A3EFD62B8F18}" id="{828FC550-0945-4EBF-9801-3BE4A70F6B73}" parentId="{96DD9A8C-7922-4D4A-9973-636824291867}">
    <text xml:space="preserve">Discussed with Gil and Daniel, this L2 should not be applicable here and can be removed. </text>
  </threadedComment>
</ThreadedComments>
</file>

<file path=xl/threadedComments/threadedComment2.xml><?xml version="1.0" encoding="utf-8"?>
<ThreadedComments xmlns="http://schemas.microsoft.com/office/spreadsheetml/2018/threadedcomments" xmlns:x="http://schemas.openxmlformats.org/spreadsheetml/2006/main">
  <threadedComment ref="K3" dT="2025-09-17T14:57:27.01" personId="{B6AFFE72-8211-4A84-A765-2DB215ABD0DC}" id="{B3FD0F06-2A9D-41BF-B21A-209E72455C5C}" done="1">
    <text>General comment on how was assessed the CSDR here as this seems to be inconsistent : 
- is it the highest risk of one of the underlying process?
- is it independently assessed?
The annual periodicity should not be the trigger for a score 3 (as this was mentioned in the IS risk assessment).</text>
  </threadedComment>
  <threadedComment ref="K3" dT="2025-09-18T06:59:22.40" personId="{A60694E4-EEE6-41C9-B90E-A3EFD62B8F18}" id="{C43446BF-692B-42EE-A67F-DD9DEB4BED61}" parentId="{B3FD0F06-2A9D-41BF-B21A-209E72455C5C}">
    <text>Discussed with Gil and Daniel, this L2 should not be applicable here and can be removed. Put N/A therefore here</text>
  </threadedComment>
  <threadedComment ref="J5" dT="2025-08-27T07:22:40.77" personId="{049F3333-A6BE-437D-9C84-7628A734862C}" id="{18FABE9B-CEED-48CC-9D80-56853B7C4D38}">
    <text>Could be downgraded to 2. Although TI domain deals with sensitive data, only a portion of it could be classified as highly sensitive. A significant portion of TI gathering is also news available in public domain.</text>
  </threadedComment>
  <threadedComment ref="J5" dT="2025-08-27T07:39:57.34" personId="{31A08D78-5D38-4AB7-9AC8-0DCEEDDBB7FD}" id="{48165F28-63A1-4E64-A322-943F891DC805}" parentId="{18FABE9B-CEED-48CC-9D80-56853B7C4D38}">
    <text>Agree, downgraded to 2</text>
  </threadedComment>
  <threadedComment ref="F7" dT="2025-09-17T16:10:12.01" personId="{AFA6EF8C-2F21-4B24-9056-206C96B896C3}" id="{2AF20756-6EB3-4D43-8B1D-3001AB64C1EE}" done="1">
    <text>Incident management is largely manual action, although supported by documentation systems</text>
  </threadedComment>
  <threadedComment ref="F7" dT="2025-09-18T05:59:25.02" personId="{31A08D78-5D38-4AB7-9AC8-0DCEEDDBB7FD}" id="{D203FBA6-09CB-481F-ABA1-831FF345D247}" parentId="{2AF20756-6EB3-4D43-8B1D-3001AB64C1EE}">
    <text>Updated to 3. No change on cumulative rating bellow - cell F11</text>
  </threadedComment>
  <threadedComment ref="F15" dT="2025-09-08T13:34:38.55" personId="{E2E8A0A6-0A28-4405-866F-35C564B9BDEA}" id="{24C02308-7228-479F-B1BD-E2DD201ABCE0}" done="1">
    <text>The last result for IS inc mng</text>
  </threadedComment>
  <threadedComment ref="F15" dT="2025-09-09T05:48:43.83" personId="{31A08D78-5D38-4AB7-9AC8-0DCEEDDBB7FD}" id="{CA2523C5-50EB-4F3F-A317-0177062641BB}" parentId="{24C02308-7228-479F-B1BD-E2DD201ABCE0}">
    <text>updated</text>
  </threadedComment>
</ThreadedComments>
</file>

<file path=xl/threadedComments/threadedComment3.xml><?xml version="1.0" encoding="utf-8"?>
<ThreadedComments xmlns="http://schemas.microsoft.com/office/spreadsheetml/2018/threadedcomments" xmlns:x="http://schemas.openxmlformats.org/spreadsheetml/2006/main">
  <threadedComment ref="F5" dT="2025-09-17T16:09:05.18" personId="{AFA6EF8C-2F21-4B24-9056-206C96B896C3}" id="{579BAA0B-C547-45BB-BF00-518C4CC2A176}" done="1">
    <text>Significant changes for Ameli and DORA, e.g. migration of SIEM (also affects the columns to the right)</text>
  </threadedComment>
  <threadedComment ref="F5" dT="2025-09-18T06:01:09.27" personId="{31A08D78-5D38-4AB7-9AC8-0DCEEDDBB7FD}" id="{39E45518-A23E-44DE-B327-0B3A8306442F}" parentId="{579BAA0B-C547-45BB-BF00-518C4CC2A176}">
    <text>Updated to 3. No change on cumulative rating bellow - cell F103</text>
  </threadedComment>
  <threadedComment ref="K5" dT="2025-09-17T16:04:27.39" personId="{AFA6EF8C-2F21-4B24-9056-206C96B896C3}" id="{E829237A-05BA-4C7B-B956-B39CAE6873DB}" done="1">
    <text>Why 3 here but not elsewhere?</text>
  </threadedComment>
  <threadedComment ref="K5" dT="2025-09-18T06:01:39.49" personId="{31A08D78-5D38-4AB7-9AC8-0DCEEDDBB7FD}" id="{41B5F306-CDFC-47DA-A8C0-A564691EFDF9}" parentId="{E829237A-05BA-4C7B-B956-B39CAE6873DB}">
    <text>Updated to 2. No change on cumulative rating bellow - cell K10</text>
  </threadedComment>
  <threadedComment ref="K5" dT="2025-09-18T06:59:29.08" personId="{A60694E4-EEE6-41C9-B90E-A3EFD62B8F18}" id="{83884721-96BA-487C-B4BC-2CBAFB766E78}" parentId="{E829237A-05BA-4C7B-B956-B39CAE6873DB}">
    <text>Discussed with Gil and Daniel, this L2 should not be applicable here and can be removed. Put N/A therefore here</text>
  </threadedComment>
  <threadedComment ref="J6" dT="2025-09-08T10:40:10.26" personId="{E2E8A0A6-0A28-4405-866F-35C564B9BDEA}" id="{08597BD9-351C-4E18-8C50-7DE33157E30E}" done="1">
    <text>For your consideration only: 
In my view, this L2 is mostly about gathering intelligence but no real stakeholders outside DBG.</text>
  </threadedComment>
  <threadedComment ref="J6" dT="2025-09-09T05:43:04.07" personId="{31A08D78-5D38-4AB7-9AC8-0DCEEDDBB7FD}" id="{53A18675-F960-4660-91BC-D0B982C27BDA}" parentId="{08597BD9-351C-4E18-8C50-7DE33157E30E}">
    <text>updated</text>
  </threadedComment>
  <threadedComment ref="G8" dT="2025-09-17T16:07:11.46" personId="{AFA6EF8C-2F21-4B24-9056-206C96B896C3}" id="{314B37AA-A979-4851-B16B-92D64BA944A4}" done="1">
    <text>Why not 3? Seems inconsistent with the 3’s above as this is the core of Cybersec</text>
  </threadedComment>
  <threadedComment ref="G8" dT="2025-09-18T06:02:07.11" personId="{31A08D78-5D38-4AB7-9AC8-0DCEEDDBB7FD}" id="{31580386-38CE-4B86-A83D-7872F1E79B1A}" parentId="{314B37AA-A979-4851-B16B-92D64BA944A4}">
    <text>Updated to 3. No change on cumulative rating bellow - cell G10</text>
  </threadedComment>
  <threadedComment ref="H8" dT="2025-09-17T16:07:17.53" personId="{AFA6EF8C-2F21-4B24-9056-206C96B896C3}" id="{AE586A5E-F46D-4981-8F96-C867ADDC494C}" done="1">
    <text>Why not 3? Seems inconsistent with the 3’s above as this is the core of Cybersec</text>
  </threadedComment>
  <threadedComment ref="H8" dT="2025-09-18T06:02:29.89" personId="{31A08D78-5D38-4AB7-9AC8-0DCEEDDBB7FD}" id="{8D394850-1716-4144-B806-D9FBDE978D1F}" parentId="{AE586A5E-F46D-4981-8F96-C867ADDC494C}">
    <text>Updated to 3. No change on cumulative rating bellow - cell H10</text>
  </threadedComment>
  <threadedComment ref="I8" dT="2025-09-08T10:42:33.72" personId="{E2E8A0A6-0A28-4405-866F-35C564B9BDEA}" id="{B2E552D5-583F-45AA-927F-610785EDD17A}" done="1">
    <text>For your consideration only: 
I don’t see 2LoD controls as the most critical component in ensuring the basic level of IS controls.</text>
  </threadedComment>
  <threadedComment ref="I8" dT="2025-09-09T05:46:31.59" personId="{31A08D78-5D38-4AB7-9AC8-0DCEEDDBB7FD}" id="{FE21DCE2-463F-459A-85D0-D0AD1C23D7D3}" parentId="{B2E552D5-583F-45AA-927F-610785EDD17A}">
    <text>Updated to 2</text>
  </threadedComment>
  <threadedComment ref="K14" dT="2025-09-08T10:44:01.83" personId="{E2E8A0A6-0A28-4405-866F-35C564B9BDEA}" id="{0D008715-2841-4BB0-A5F9-0EF7E3042E6C}" done="1">
    <text>What is the assessment from previous audit?</text>
  </threadedComment>
  <threadedComment ref="K14" dT="2025-09-09T05:47:49.18" personId="{31A08D78-5D38-4AB7-9AC8-0DCEEDDBB7FD}" id="{029BFF41-9CAA-4338-BDE9-5CE0CBE0037D}" parentId="{0D008715-2841-4BB0-A5F9-0EF7E3042E6C}">
    <text>updated</text>
  </threadedComment>
  <threadedComment ref="E15" dT="2025-09-17T06:51:49.78" personId="{485D0960-7D1F-4632-A1B0-0C96F180CFDF}" id="{7FDEA3EE-EFD9-478C-A12C-77C02EED7523}" done="1">
    <text>Would still be useful to understand what changed. Is it just us applying a more severe/conservative outlook to the processes’ inherent risks? Or have we amended some of our individual ratings due to changes in the processes’ conditions/requirements, this driving the rating lower than it previously was?</text>
  </threadedComment>
  <threadedComment ref="E15" dT="2025-09-17T08:37:52.54" personId="{31A08D78-5D38-4AB7-9AC8-0DCEEDDBB7FD}" id="{A3BBB77B-BC00-4BAF-AA77-2F0B7977F98D}" parentId="{7FDEA3EE-EFD9-478C-A12C-77C02EED7523}">
    <text>updated</text>
  </threadedComment>
</ThreadedComments>
</file>

<file path=xl/threadedComments/threadedComment4.xml><?xml version="1.0" encoding="utf-8"?>
<ThreadedComments xmlns="http://schemas.microsoft.com/office/spreadsheetml/2018/threadedcomments" xmlns:x="http://schemas.openxmlformats.org/spreadsheetml/2006/main">
  <threadedComment ref="K3" dT="2025-09-17T16:01:12.21" personId="{AFA6EF8C-2F21-4B24-9056-206C96B896C3}" id="{3D1A8FB0-DBB3-41C9-B58F-BAD3CF96B1E0}" done="1">
    <text>The regulatory defined frequency should not drive the inherent risk assessment - default 3 in this column is not reasonable</text>
  </threadedComment>
  <threadedComment ref="K3" dT="2025-09-18T07:07:02.64" personId="{31A08D78-5D38-4AB7-9AC8-0DCEEDDBB7FD}" id="{DEE10188-D20F-4350-A1A9-C4BC2735758C}" parentId="{3D1A8FB0-DBB3-41C9-B58F-BAD3CF96B1E0}">
    <text>Discussed with Gil and Daniel, this L2 should not be applicable here and can be removed. Put N/A therefore here</text>
  </threadedComment>
  <threadedComment ref="J5" dT="2025-09-08T10:58:20.69" personId="{E2E8A0A6-0A28-4405-866F-35C564B9BDEA}" id="{CFDEA501-85D7-44ED-8D43-85D9E61641A5}" done="1">
    <text>The question here is - how far is the L2 (e.g. Threat Intelligence or even Cyber Prevention) under the impact of a potential external fraud? Usually, it’s the business processes that are targeted.
I could think of a fraud scenario that external threat actors could poison the databases that feed into our TI systems and thereby somehow create a gap that we loose focus on a specific type of attack that the threat actors plans to do. Considering that this still cannot invalidate our key IS controls for prevention and detection, and the uncertainty with such exercise, I seriously doubt that this is a viable scenario. 
Keeping the focus on “which process would external fraudster target”, please reevaluate the assessment, also for prevention and detection L2s.</text>
  </threadedComment>
  <threadedComment ref="J5" dT="2025-09-09T05:40:12.43" personId="{31A08D78-5D38-4AB7-9AC8-0DCEEDDBB7FD}" id="{2DE5C0E7-04FC-4341-8294-459195CC321C}" parentId="{CFDEA501-85D7-44ED-8D43-85D9E61641A5}">
    <text>Updated</text>
  </threadedComment>
  <threadedComment ref="K5" dT="2025-09-17T14:50:32.27" personId="{B6AFFE72-8211-4A84-A765-2DB215ABD0DC}" id="{A458DF87-E866-4F20-8B3D-3D65C6BB24FE}" done="1">
    <text>Not sure I understand the logic compared to Internal fraud incentive. 
In internal fraud incentive, you assessed 1 and here, you assessed as 3</text>
  </threadedComment>
  <threadedComment ref="K5" dT="2025-09-18T06:59:39.51" personId="{A60694E4-EEE6-41C9-B90E-A3EFD62B8F18}" id="{7A6DEE1F-F503-4CF8-9B7A-27AC56CB6875}" parentId="{A458DF87-E866-4F20-8B3D-3D65C6BB24FE}">
    <text>Discussed with Gil and Daniel, this L2 should not be applicable here and can be removed. Put N/A therefore here</text>
  </threadedComment>
  <threadedComment ref="J6" dT="2025-09-08T11:00:07.87" personId="{E2E8A0A6-0A28-4405-866F-35C564B9BDEA}" id="{BE11CD07-F17B-4313-ABF3-95BC27F46F94}" done="1">
    <text>Do you have any info that regulator had audited or will audit this process in DBG?</text>
  </threadedComment>
  <threadedComment ref="J6" dT="2025-09-09T05:43:45.58" personId="{31A08D78-5D38-4AB7-9AC8-0DCEEDDBB7FD}" id="{92438FC0-6561-46E0-B508-2736D92BE0BD}" parentId="{BE11CD07-F17B-4313-ABF3-95BC27F46F94}">
    <text xml:space="preserve">Yes, CSSF </text>
  </threadedComment>
  <threadedComment ref="F7" dT="2025-09-17T16:02:04.47" personId="{AFA6EF8C-2F21-4B24-9056-206C96B896C3}" id="{209F544A-60E7-487E-A9C7-D83486C0BD4A}" done="1">
    <text xml:space="preserve">Is the SOC in here? - then dependency on Accenture </text>
  </threadedComment>
  <threadedComment ref="F7" dT="2025-09-18T06:03:53.19" personId="{31A08D78-5D38-4AB7-9AC8-0DCEEDDBB7FD}" id="{64D24CB0-6614-4E6A-AEF1-62076FFAF363}" parentId="{209F544A-60E7-487E-A9C7-D83486C0BD4A}">
    <text>Updated to 3. No change on cumulative rating bellow - cell F11</text>
  </threadedComment>
  <threadedComment ref="G9" dT="2025-09-08T11:05:01.18" personId="{E2E8A0A6-0A28-4405-866F-35C564B9BDEA}" id="{27F2AC0A-4E51-49C0-9EE6-8C9A0811CCEE}" done="1">
    <text>Is this because of some key man risk?
Otherwise, all infrastructure should be available on secondary site/cloud?
Same question for Detection and Threat Intelligence L2s.</text>
  </threadedComment>
  <threadedComment ref="G9" dT="2025-09-09T05:44:11.54" personId="{31A08D78-5D38-4AB7-9AC8-0DCEEDDBB7FD}" id="{881CCDAB-61B4-45DC-86E7-4DFAD33E67E4}" parentId="{27F2AC0A-4E51-49C0-9EE6-8C9A0811CCEE}">
    <text>Updated to 2</text>
  </threadedComment>
  <threadedComment ref="H9" dT="2025-09-08T11:05:01.18" personId="{E2E8A0A6-0A28-4405-866F-35C564B9BDEA}" id="{5D7BA989-D19A-4EB9-887B-C089E6C82DF8}" done="1">
    <text>Is this because of some key man risk?
Otherwise, all infrastructure should be available on secondary site/cloud?
Same question for Detection and Threat Intelligence L2s.</text>
  </threadedComment>
  <threadedComment ref="H9" dT="2025-09-09T05:44:30.45" personId="{31A08D78-5D38-4AB7-9AC8-0DCEEDDBB7FD}" id="{5D5C4D32-5504-4271-9069-806FE9D83D49}" parentId="{5D7BA989-D19A-4EB9-887B-C089E6C82DF8}">
    <text>Updated to 2</text>
  </threadedComment>
  <threadedComment ref="J9" dT="2025-09-08T11:05:01.18" personId="{E2E8A0A6-0A28-4405-866F-35C564B9BDEA}" id="{4B14AD90-8645-4B8A-9238-E1A4B64A9D13}" done="1">
    <text>Is this because of some key man risk?
Otherwise, all infrastructure should be available on secondary site/cloud?
Same question for Detection and Threat Intelligence L2s.</text>
  </threadedComment>
  <threadedComment ref="J9" dT="2025-09-09T05:44:55.91" personId="{31A08D78-5D38-4AB7-9AC8-0DCEEDDBB7FD}" id="{A5CAA7F2-8607-4F17-9603-EEB997004607}" parentId="{4B14AD90-8645-4B8A-9238-E1A4B64A9D13}">
    <text>Updated to 2</text>
  </threadedComment>
  <threadedComment ref="K9" dT="2025-09-17T14:51:02.84" personId="{B6AFFE72-8211-4A84-A765-2DB215ABD0DC}" id="{BFC0069B-3887-4536-BAD8-AF82CE870BC0}" done="1">
    <text>why 3 only for CSDR?</text>
  </threadedComment>
  <threadedComment ref="K9" dT="2025-09-18T06:59:47.16" personId="{A60694E4-EEE6-41C9-B90E-A3EFD62B8F18}" id="{56A3A7DF-7FD8-49FC-9CC7-6DCB73C77E74}" parentId="{BFC0069B-3887-4536-BAD8-AF82CE870BC0}">
    <text xml:space="preserve">Discussed with Gil and Daniel, this L2 should not be applicable here and can be removed. Put N/A therefore here
</text>
  </threadedComment>
  <threadedComment ref="J16" dT="2025-09-08T13:21:14.89" personId="{E2E8A0A6-0A28-4405-866F-35C564B9BDEA}" id="{C6E34A00-2E75-49B6-A081-B7E88D68B337}" done="1">
    <text>Check the wording</text>
  </threadedComment>
  <threadedComment ref="J16" dT="2025-09-09T05:45:44.44" personId="{31A08D78-5D38-4AB7-9AC8-0DCEEDDBB7FD}" id="{D03B3791-6C8A-4A65-935D-BD851FC3C652}" parentId="{C6E34A00-2E75-49B6-A081-B7E88D68B337}">
    <text>updated</text>
  </threadedComment>
</ThreadedComments>
</file>

<file path=xl/threadedComments/threadedComment5.xml><?xml version="1.0" encoding="utf-8"?>
<ThreadedComments xmlns="http://schemas.microsoft.com/office/spreadsheetml/2018/threadedcomments" xmlns:x="http://schemas.openxmlformats.org/spreadsheetml/2006/main">
  <threadedComment ref="G5" dT="2025-09-08T11:18:23.78" personId="{E2E8A0A6-0A28-4405-866F-35C564B9BDEA}" id="{EAE64FB3-8C1C-4662-8EA2-F0AD9031EBAD}" done="1">
    <text>N/A should not be used for any of the 3 criterias.
Please check the rest of this sheet.</text>
  </threadedComment>
  <threadedComment ref="G5" dT="2025-09-09T07:24:51.86" personId="{31A08D78-5D38-4AB7-9AC8-0DCEEDDBB7FD}" id="{A8AE1505-1471-49DD-9F5F-291ED7589685}" parentId="{EAE64FB3-8C1C-4662-8EA2-F0AD9031EBAD}">
    <text>Updated</text>
  </threadedComment>
  <threadedComment ref="J5" dT="2025-09-08T11:13:40.86" personId="{E2E8A0A6-0A28-4405-866F-35C564B9BDEA}" id="{2F1D985B-BE3A-4C71-9D8A-D678B9AD993A}" done="1">
    <text>This evaluation does not rely only on the raised findings therefore the comment leads to a conclusion that only existing findings are considered. Since we are assessing the Inherent Risk here, the focus is on “the potential” to have severe findings, with DATA as the driving factor. E.g. - how critical (C-I-Authenticity) is the data inside applications used for Prevention process?
Please check the comment wording for Detection and Threat Intelligence L2</text>
  </threadedComment>
  <threadedComment ref="J5" dT="2025-09-09T07:13:26.61" personId="{31A08D78-5D38-4AB7-9AC8-0DCEEDDBB7FD}" id="{3B55FCDD-D173-40CF-BE0D-AD1361F51989}" parentId="{2F1D985B-BE3A-4C71-9D8A-D678B9AD993A}">
    <text>updated</text>
  </threadedComment>
  <threadedComment ref="R5" dT="2025-09-17T16:00:20.89" personId="{AFA6EF8C-2F21-4B24-9056-206C96B896C3}" id="{B3814CC1-2646-471F-AE47-F695595D2673}" done="1">
    <text>The regulatory requirement should not be mixed with the inherent risk view here</text>
  </threadedComment>
  <threadedComment ref="R5" dT="2025-09-18T08:05:53.82" personId="{31A08D78-5D38-4AB7-9AC8-0DCEEDDBB7FD}" id="{535F4675-67A1-4EFA-9093-77F8A4A0713A}" parentId="{B3814CC1-2646-471F-AE47-F695595D2673}">
    <text xml:space="preserve">Discussed with Gil and Daniel, this L2 should not be applicable here and can be removed. Put N/A </text>
  </threadedComment>
  <threadedComment ref="F6" dT="2025-09-08T11:15:19.18" personId="{E2E8A0A6-0A28-4405-866F-35C564B9BDEA}" id="{646A7B22-5775-4935-9E7E-B60CD89B2078}">
    <text>Would it be fair to also add - and no IDPs identified during the audit.</text>
  </threadedComment>
  <threadedComment ref="F6" dT="2025-09-09T07:27:12.75" personId="{31A08D78-5D38-4AB7-9AC8-0DCEEDDBB7FD}" id="{7DDB119C-E357-47E4-ABCE-029F69F1083C}" parentId="{646A7B22-5775-4935-9E7E-B60CD89B2078}">
    <text>Included now</text>
  </threadedComment>
  <threadedComment ref="F6" dT="2025-09-17T14:53:50.93" personId="{B6AFFE72-8211-4A84-A765-2DB215ABD0DC}" id="{C77ABA99-19DC-40C2-A328-E9AF9597CED1}" parentId="{646A7B22-5775-4935-9E7E-B60CD89B2078}">
    <text xml:space="preserve">Just to be sure. What do you mean by not in scope of this audit? In 2 cases, you mentioned "L2 not in scope of the audit" and for the rest "not in scope of this audit" </text>
  </threadedComment>
  <threadedComment ref="F6" dT="2025-09-18T07:57:31.77" personId="{31A08D78-5D38-4AB7-9AC8-0DCEEDDBB7FD}" id="{D8BDC8DE-1844-41FF-87CD-E1A809E1FF83}" parentId="{646A7B22-5775-4935-9E7E-B60CD89B2078}">
    <text>Updated - in all areas</text>
  </threadedComment>
  <threadedComment ref="J7" dT="2025-09-08T11:20:52.05" personId="{E2E8A0A6-0A28-4405-866F-35C564B9BDEA}" id="{041077EF-B1D8-47A3-BF59-5037520DF25E}" done="1">
    <text>Reads like the evaluation was driven by the control gaps. Here we should evaluate any additional information that was revealed by management during the audit, which can affect IA assessment of the inherent risk.
Same for 2LoD and Threat Intelligence L2s.</text>
  </threadedComment>
  <threadedComment ref="J7" dT="2025-09-09T07:51:07.25" personId="{31A08D78-5D38-4AB7-9AC8-0DCEEDDBB7FD}" id="{58B29583-98E0-4DF4-B496-3EE3B6BD41E0}" parentId="{041077EF-B1D8-47A3-BF59-5037520DF25E}">
    <text>Updated</text>
  </threadedComment>
  <threadedComment ref="R7" dT="2025-09-17T14:55:28.39" personId="{B6AFFE72-8211-4A84-A765-2DB215ABD0DC}" id="{EE968217-2A18-41FC-BEB2-526CC5080267}" done="1">
    <text xml:space="preserve">We should separate the annual regulatory requirement from the risk assessment. </text>
  </threadedComment>
  <threadedComment ref="R7" dT="2025-09-18T07:00:02.90" personId="{A60694E4-EEE6-41C9-B90E-A3EFD62B8F18}" id="{A36E8984-FEED-4283-9B43-D5F6D2114E16}" parentId="{EE968217-2A18-41FC-BEB2-526CC5080267}">
    <text xml:space="preserve">Discussed with Gil and Daniel, this L2 should not be applicable here and can be removed. Put N/A therefore here
</text>
  </threadedComment>
  <threadedComment ref="E14" dT="2025-09-08T11:26:19.14" personId="{E2E8A0A6-0A28-4405-866F-35C564B9BDEA}" id="{E3C4C2E6-F1A2-492A-8AAA-573A07FB7BB0}" done="1">
    <text>Please check wording - only focus on inherent risk, not CMI.</text>
  </threadedComment>
  <threadedComment ref="E14" dT="2025-09-09T07:51:33.11" personId="{31A08D78-5D38-4AB7-9AC8-0DCEEDDBB7FD}" id="{671F8B95-7868-4930-80F1-4C2DEB47D865}" parentId="{E3C4C2E6-F1A2-492A-8AAA-573A07FB7BB0}">
    <text>updated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file:///C:\:x:\r\teams\GO365_GroupAudit\_layouts\15\Doc.aspx%3fsourcedoc=%7bAC468D20-33BF-4565-B3E4-9A76B7C593AD%7d&amp;file=AAP%202025%20Golden%20Source.xlsm&amp;action=default&amp;mobileredirect=true" TargetMode="External"/><Relationship Id="rId1" Type="http://schemas.openxmlformats.org/officeDocument/2006/relationships/hyperlink" Target="file:///C:\:x:\r\teams\GO365_GroupAudit\_layouts\15\Doc.aspx"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 Id="rId4" Type="http://schemas.microsoft.com/office/2017/10/relationships/threadedComment" Target="../threadedComments/threadedComment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1AB53-DC59-4E14-9F4B-00C5D74EC3E2}">
  <sheetPr codeName="Sheet2"/>
  <dimension ref="B2:D7"/>
  <sheetViews>
    <sheetView showGridLines="0" zoomScaleNormal="100" workbookViewId="0">
      <selection activeCell="D49" sqref="D49"/>
    </sheetView>
  </sheetViews>
  <sheetFormatPr defaultRowHeight="15"/>
  <cols>
    <col min="1" max="1" width="4" customWidth="1"/>
    <col min="2" max="2" width="18.28515625" customWidth="1"/>
    <col min="3" max="3" width="19.7109375" customWidth="1"/>
    <col min="4" max="4" width="38.7109375" bestFit="1" customWidth="1"/>
  </cols>
  <sheetData>
    <row r="2" spans="2:4" ht="15.75" thickBot="1"/>
    <row r="3" spans="2:4" ht="30.75" thickBot="1">
      <c r="B3" s="22" t="s">
        <v>0</v>
      </c>
      <c r="C3" s="22" t="s">
        <v>1</v>
      </c>
      <c r="D3" s="22" t="s">
        <v>2</v>
      </c>
    </row>
    <row r="4" spans="2:4" ht="15.75" thickBot="1">
      <c r="B4" s="14" t="s">
        <v>3</v>
      </c>
      <c r="C4" s="24">
        <v>3</v>
      </c>
      <c r="D4" s="14" t="s">
        <v>4</v>
      </c>
    </row>
    <row r="5" spans="2:4" ht="15.75" thickBot="1">
      <c r="B5" s="14" t="s">
        <v>5</v>
      </c>
      <c r="C5" s="24">
        <v>2</v>
      </c>
      <c r="D5" s="14" t="s">
        <v>6</v>
      </c>
    </row>
    <row r="6" spans="2:4" ht="15.75" thickBot="1">
      <c r="B6" s="14" t="s">
        <v>7</v>
      </c>
      <c r="C6" s="24">
        <v>1</v>
      </c>
      <c r="D6" s="14" t="s">
        <v>8</v>
      </c>
    </row>
    <row r="7" spans="2:4" ht="43.5" thickBot="1">
      <c r="B7" s="14" t="s">
        <v>9</v>
      </c>
      <c r="C7" s="24" t="s">
        <v>9</v>
      </c>
      <c r="D7" s="14" t="s">
        <v>10</v>
      </c>
    </row>
  </sheetData>
  <pageMargins left="0.7" right="0.7" top="0.75" bottom="0.75" header="0.3" footer="0.3"/>
  <pageSetup paperSize="9" orientation="portrait" horizontalDpi="1200" verticalDpi="1200" r:id="rId1"/>
  <headerFooter>
    <oddFooter>&amp;C&amp;1#&amp;"Calibri"&amp;10&amp;K000000Confidential</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A2905-CC88-4077-897A-73F158E1892F}">
  <sheetPr codeName="Sheet1">
    <tabColor theme="2" tint="-9.9978637043366805E-2"/>
  </sheetPr>
  <dimension ref="B1:AZ50"/>
  <sheetViews>
    <sheetView showGridLines="0" tabSelected="1" zoomScale="70" zoomScaleNormal="70" workbookViewId="0">
      <pane xSplit="4" ySplit="6" topLeftCell="N11" activePane="bottomRight" state="frozen"/>
      <selection pane="bottomRight" activeCell="AE12" sqref="AE12"/>
      <selection pane="bottomLeft" activeCell="A5" sqref="A5"/>
      <selection pane="topRight" activeCell="E1" sqref="E1"/>
    </sheetView>
  </sheetViews>
  <sheetFormatPr defaultColWidth="10.7109375" defaultRowHeight="15.75" thickBottom="1" outlineLevelRow="1" outlineLevelCol="1"/>
  <cols>
    <col min="1" max="1" width="2.42578125" customWidth="1"/>
    <col min="2" max="2" width="16.7109375" customWidth="1"/>
    <col min="3" max="3" width="6.5703125" hidden="1" customWidth="1"/>
    <col min="4" max="4" width="42.5703125" customWidth="1"/>
    <col min="5" max="5" width="6.28515625" style="110" customWidth="1"/>
    <col min="6" max="7" width="6.28515625" style="110" customWidth="1" outlineLevel="1"/>
    <col min="8" max="9" width="6.28515625" style="110" customWidth="1"/>
    <col min="10" max="10" width="6.28515625" style="110" customWidth="1" outlineLevel="1"/>
    <col min="11" max="11" width="6.28515625" style="110" customWidth="1"/>
    <col min="12" max="12" width="7.28515625" style="110" customWidth="1" outlineLevel="1"/>
    <col min="13" max="14" width="6.28515625" style="110" customWidth="1" outlineLevel="1"/>
    <col min="15" max="15" width="6.28515625" style="110" customWidth="1"/>
    <col min="16" max="16" width="3.5703125" style="19" customWidth="1"/>
    <col min="17" max="20" width="15.42578125" customWidth="1"/>
    <col min="21" max="21" width="16.7109375" customWidth="1"/>
    <col min="22" max="22" width="1.5703125" customWidth="1"/>
    <col min="23" max="23" width="15.42578125" customWidth="1"/>
    <col min="24" max="24" width="0.42578125" customWidth="1"/>
    <col min="25" max="25" width="56.28515625" style="19" customWidth="1"/>
    <col min="26" max="26" width="0.5703125" customWidth="1"/>
    <col min="27" max="27" width="13.42578125" customWidth="1"/>
    <col min="28" max="28" width="22.5703125" customWidth="1" outlineLevel="1"/>
    <col min="29" max="29" width="17.28515625" customWidth="1"/>
    <col min="30" max="30" width="29.28515625" customWidth="1" outlineLevel="1"/>
    <col min="31" max="31" width="20.42578125" customWidth="1" outlineLevel="1"/>
    <col min="32" max="32" width="34" customWidth="1"/>
    <col min="33" max="33" width="19.42578125" customWidth="1" outlineLevel="1"/>
    <col min="34" max="34" width="20" customWidth="1"/>
    <col min="35" max="35" width="20" customWidth="1" outlineLevel="1"/>
    <col min="36" max="36" width="2.28515625" style="19" customWidth="1"/>
    <col min="37" max="47" width="8.7109375" customWidth="1"/>
    <col min="48" max="48" width="15.85546875" customWidth="1"/>
    <col min="49" max="49" width="2.28515625" customWidth="1"/>
    <col min="50" max="50" width="14.7109375" customWidth="1"/>
    <col min="51" max="51" width="20" customWidth="1"/>
    <col min="52" max="52" width="18" customWidth="1"/>
  </cols>
  <sheetData>
    <row r="1" spans="2:52" ht="21.75" thickBot="1">
      <c r="B1" s="13" t="s">
        <v>11</v>
      </c>
    </row>
    <row r="2" spans="2:52" ht="7.5" customHeight="1" thickBot="1">
      <c r="C2" s="13"/>
      <c r="D2" s="7"/>
    </row>
    <row r="3" spans="2:52" ht="21" customHeight="1" thickBot="1">
      <c r="B3" s="7" t="s">
        <v>12</v>
      </c>
      <c r="C3" s="13"/>
      <c r="D3" s="35" t="s">
        <v>13</v>
      </c>
    </row>
    <row r="4" spans="2:52" ht="20.25" customHeight="1" thickBot="1">
      <c r="C4" s="13"/>
      <c r="D4" s="7"/>
      <c r="AK4" s="107" t="s">
        <v>14</v>
      </c>
      <c r="AX4" s="141" t="s">
        <v>15</v>
      </c>
      <c r="AY4" s="141"/>
      <c r="AZ4" s="141"/>
    </row>
    <row r="5" spans="2:52" ht="48" customHeight="1" thickBot="1">
      <c r="B5" s="142" t="s">
        <v>16</v>
      </c>
      <c r="C5" s="142"/>
      <c r="D5" s="142"/>
      <c r="E5" s="147" t="s">
        <v>17</v>
      </c>
      <c r="F5" s="147"/>
      <c r="G5" s="147"/>
      <c r="H5" s="147"/>
      <c r="I5" s="147"/>
      <c r="J5" s="147"/>
      <c r="K5" s="147"/>
      <c r="L5" s="147"/>
      <c r="M5" s="147"/>
      <c r="N5" s="147"/>
      <c r="O5" s="147"/>
      <c r="Q5" s="139" t="s">
        <v>18</v>
      </c>
      <c r="R5" s="139"/>
      <c r="S5" s="139"/>
      <c r="T5" s="139"/>
      <c r="U5" s="139"/>
      <c r="W5" s="149" t="s">
        <v>19</v>
      </c>
      <c r="X5" s="149"/>
      <c r="Y5" s="149"/>
      <c r="AA5" s="149" t="s">
        <v>20</v>
      </c>
      <c r="AB5" s="149"/>
      <c r="AC5" s="149" t="s">
        <v>21</v>
      </c>
      <c r="AD5" s="149"/>
      <c r="AE5" s="44" t="s">
        <v>22</v>
      </c>
      <c r="AF5" s="149" t="s">
        <v>23</v>
      </c>
      <c r="AG5" s="149"/>
      <c r="AH5" s="149" t="s">
        <v>24</v>
      </c>
      <c r="AI5" s="149"/>
      <c r="AK5" s="139" t="s">
        <v>25</v>
      </c>
      <c r="AL5" s="139"/>
      <c r="AM5" s="139"/>
      <c r="AN5" s="139"/>
      <c r="AO5" s="139"/>
      <c r="AP5" s="139"/>
      <c r="AQ5" s="139"/>
      <c r="AR5" s="139"/>
      <c r="AS5" s="139"/>
      <c r="AT5" s="139"/>
      <c r="AU5" s="139"/>
      <c r="AV5" s="44"/>
      <c r="AX5" s="139" t="s">
        <v>26</v>
      </c>
      <c r="AY5" s="139"/>
      <c r="AZ5" s="139"/>
    </row>
    <row r="6" spans="2:52" ht="36" customHeight="1" outlineLevel="1" thickBot="1">
      <c r="B6" s="20"/>
      <c r="C6" s="21"/>
      <c r="D6" s="95" t="s">
        <v>27</v>
      </c>
      <c r="E6" s="148" t="s">
        <v>28</v>
      </c>
      <c r="F6" s="148"/>
      <c r="G6" s="148"/>
      <c r="H6" s="148"/>
      <c r="I6" s="148"/>
      <c r="J6" s="148"/>
      <c r="K6" s="148"/>
      <c r="L6" s="148"/>
      <c r="M6" s="148"/>
      <c r="N6" s="148"/>
      <c r="O6" s="148"/>
      <c r="Q6" s="152" t="s">
        <v>29</v>
      </c>
      <c r="R6" s="152"/>
      <c r="S6" s="152"/>
      <c r="T6" s="152"/>
      <c r="U6" s="152"/>
      <c r="W6" s="151" t="s">
        <v>30</v>
      </c>
      <c r="X6" s="151"/>
      <c r="Y6" s="151"/>
      <c r="AA6" s="150" t="s">
        <v>31</v>
      </c>
      <c r="AB6" s="150"/>
      <c r="AC6" s="150" t="s">
        <v>32</v>
      </c>
      <c r="AD6" s="150"/>
      <c r="AE6" s="43" t="s">
        <v>33</v>
      </c>
      <c r="AF6" s="150" t="s">
        <v>34</v>
      </c>
      <c r="AG6" s="150"/>
      <c r="AH6" s="150" t="s">
        <v>35</v>
      </c>
      <c r="AI6" s="150"/>
      <c r="AK6" s="140" t="s">
        <v>36</v>
      </c>
      <c r="AL6" s="140"/>
      <c r="AM6" s="140"/>
      <c r="AN6" s="140"/>
      <c r="AO6" s="140"/>
      <c r="AP6" s="140"/>
      <c r="AQ6" s="140"/>
      <c r="AR6" s="140"/>
      <c r="AS6" s="140"/>
      <c r="AT6" s="140"/>
      <c r="AU6" s="140"/>
      <c r="AV6" s="103"/>
      <c r="AX6" s="140" t="s">
        <v>37</v>
      </c>
      <c r="AY6" s="140"/>
      <c r="AZ6" s="140"/>
    </row>
    <row r="7" spans="2:52" ht="126" customHeight="1" thickBot="1">
      <c r="B7" s="29" t="s">
        <v>38</v>
      </c>
      <c r="C7" s="26" t="s">
        <v>39</v>
      </c>
      <c r="D7" s="94" t="s">
        <v>40</v>
      </c>
      <c r="E7" s="111" t="s">
        <v>41</v>
      </c>
      <c r="F7" s="112" t="s">
        <v>42</v>
      </c>
      <c r="G7" s="112" t="s">
        <v>43</v>
      </c>
      <c r="H7" s="114" t="s">
        <v>44</v>
      </c>
      <c r="I7" s="111" t="s">
        <v>45</v>
      </c>
      <c r="J7" s="113" t="s">
        <v>46</v>
      </c>
      <c r="K7" s="111" t="s">
        <v>47</v>
      </c>
      <c r="L7" s="112" t="s">
        <v>48</v>
      </c>
      <c r="M7" s="112" t="s">
        <v>49</v>
      </c>
      <c r="N7" s="113" t="s">
        <v>50</v>
      </c>
      <c r="O7" s="114" t="s">
        <v>51</v>
      </c>
      <c r="P7" s="76"/>
      <c r="Q7" s="25" t="s">
        <v>52</v>
      </c>
      <c r="R7" s="25" t="s">
        <v>53</v>
      </c>
      <c r="S7" s="25" t="s">
        <v>54</v>
      </c>
      <c r="T7" s="25" t="s">
        <v>55</v>
      </c>
      <c r="U7" s="25" t="s">
        <v>56</v>
      </c>
      <c r="W7" s="58" t="s">
        <v>57</v>
      </c>
      <c r="X7" s="86"/>
      <c r="Y7" s="58" t="s">
        <v>58</v>
      </c>
      <c r="Z7" s="86"/>
      <c r="AA7" s="31" t="s">
        <v>59</v>
      </c>
      <c r="AB7" s="98" t="s">
        <v>60</v>
      </c>
      <c r="AC7" s="29" t="s">
        <v>61</v>
      </c>
      <c r="AD7" s="28" t="s">
        <v>60</v>
      </c>
      <c r="AE7" s="28" t="s">
        <v>62</v>
      </c>
      <c r="AF7" s="30" t="s">
        <v>63</v>
      </c>
      <c r="AG7" s="28" t="s">
        <v>60</v>
      </c>
      <c r="AH7" s="29" t="s">
        <v>64</v>
      </c>
      <c r="AI7" s="27" t="s">
        <v>60</v>
      </c>
      <c r="AK7" s="32" t="s">
        <v>65</v>
      </c>
      <c r="AL7" s="28" t="s">
        <v>66</v>
      </c>
      <c r="AM7" s="28" t="s">
        <v>67</v>
      </c>
      <c r="AN7" s="28" t="s">
        <v>68</v>
      </c>
      <c r="AO7" s="28" t="s">
        <v>69</v>
      </c>
      <c r="AP7" s="28" t="s">
        <v>70</v>
      </c>
      <c r="AQ7" s="28" t="s">
        <v>71</v>
      </c>
      <c r="AR7" s="28" t="s">
        <v>72</v>
      </c>
      <c r="AS7" s="28" t="s">
        <v>73</v>
      </c>
      <c r="AT7" s="28" t="s">
        <v>74</v>
      </c>
      <c r="AU7" s="28" t="s">
        <v>75</v>
      </c>
      <c r="AV7" s="108" t="s">
        <v>76</v>
      </c>
      <c r="AX7" s="32" t="s">
        <v>77</v>
      </c>
      <c r="AY7" s="28" t="s">
        <v>78</v>
      </c>
      <c r="AZ7" s="102" t="s">
        <v>79</v>
      </c>
    </row>
    <row r="8" spans="2:52" ht="409.6" thickBot="1">
      <c r="B8" s="143" t="s">
        <v>80</v>
      </c>
      <c r="C8" s="145">
        <v>1</v>
      </c>
      <c r="D8" s="134" t="s">
        <v>81</v>
      </c>
      <c r="E8" s="128" t="s">
        <v>82</v>
      </c>
      <c r="F8" s="129" t="s">
        <v>82</v>
      </c>
      <c r="G8" s="129" t="s">
        <v>82</v>
      </c>
      <c r="H8" s="130" t="s">
        <v>82</v>
      </c>
      <c r="I8" s="128" t="s">
        <v>82</v>
      </c>
      <c r="J8" s="129" t="s">
        <v>82</v>
      </c>
      <c r="K8" s="128" t="s">
        <v>82</v>
      </c>
      <c r="L8" s="129" t="s">
        <v>82</v>
      </c>
      <c r="M8" s="129" t="s">
        <v>82</v>
      </c>
      <c r="N8" s="131" t="s">
        <v>82</v>
      </c>
      <c r="O8" s="130" t="s">
        <v>82</v>
      </c>
      <c r="P8" s="76"/>
      <c r="Q8" s="17" t="str">
        <f>IF('Internal People &amp; Staff'!E$13&gt;0,'Internal People &amp; Staff'!E$13,'Internal People &amp; Staff'!E$11)</f>
        <v>Medium</v>
      </c>
      <c r="R8" s="17" t="str">
        <f>IF(Processes!E$12&gt;0,Processes!E$12,Processes!E$10)</f>
        <v>Medium</v>
      </c>
      <c r="S8" s="17" t="str">
        <f>IF('Internal Systems'!E$12&gt;0,'Internal Systems'!E$12,'Internal Systems'!E$10)</f>
        <v>Low</v>
      </c>
      <c r="T8" s="17" t="str">
        <f>IF(External!D$13&gt;0,External!$E13,External!$E11)</f>
        <v>Medium</v>
      </c>
      <c r="U8" s="17" t="str">
        <f>IF('IS Risk Assessment'!E$11&gt;0,'IS Risk Assessment'!$E11,'IS Risk Assessment'!$E9)</f>
        <v>Low</v>
      </c>
      <c r="W8" s="17" t="str">
        <f t="shared" ref="W8:W37" si="0">IF(COUNTIF(Q8:U8,"High")&gt;=1,"High",IF(COUNTIF(Q8:U8,"Medium")&gt;=1,"Medium",IF(COUNTIF(Q8:U8,"Low")&gt;=1,"Low","")))</f>
        <v>Medium</v>
      </c>
      <c r="X8" s="87"/>
      <c r="Y8" s="127" t="s">
        <v>83</v>
      </c>
      <c r="AA8" s="105"/>
      <c r="AB8" s="106" t="s">
        <v>84</v>
      </c>
      <c r="AC8" s="39" t="s">
        <v>85</v>
      </c>
      <c r="AD8" s="38" t="s">
        <v>86</v>
      </c>
      <c r="AE8" s="17" t="str">
        <f>IF(AND(W8="High",AC8="Strong/Robust"),"Medium",IF(AND(W8="High",AC8="Developed"),"Medium",IF(AND(W8="Medium",AC8="Strong/Robust"),"Low",IF(AND(W8="Medium",AC8="Developed"),"Low",IF(AND(W8="High",AC8="Weak/Undefined"),"High",IF(AND(W8="Medium",AC8="Weak/Undefined"),"Medium","Low"))))))</f>
        <v>Low</v>
      </c>
      <c r="AF8" s="38" t="s">
        <v>87</v>
      </c>
      <c r="AG8" s="38" t="s">
        <v>88</v>
      </c>
      <c r="AH8" s="136" t="s">
        <v>89</v>
      </c>
      <c r="AI8" s="40" t="s">
        <v>90</v>
      </c>
      <c r="AJ8" s="41"/>
      <c r="AK8" s="37"/>
      <c r="AL8" s="39"/>
      <c r="AM8" s="39"/>
      <c r="AN8" s="39"/>
      <c r="AO8" s="39"/>
      <c r="AP8" s="39"/>
      <c r="AQ8" s="39"/>
      <c r="AR8" s="39"/>
      <c r="AS8" s="39"/>
      <c r="AT8" s="39"/>
      <c r="AU8" s="39"/>
      <c r="AV8" s="138" t="s">
        <v>91</v>
      </c>
      <c r="AX8" s="104" t="s">
        <v>92</v>
      </c>
      <c r="AY8" s="106" t="s">
        <v>93</v>
      </c>
      <c r="AZ8" s="106" t="s">
        <v>94</v>
      </c>
    </row>
    <row r="9" spans="2:52" ht="257.25" thickBot="1">
      <c r="B9" s="143"/>
      <c r="C9" s="145"/>
      <c r="D9" s="135" t="s">
        <v>95</v>
      </c>
      <c r="E9" s="128" t="s">
        <v>82</v>
      </c>
      <c r="F9" s="129" t="s">
        <v>82</v>
      </c>
      <c r="G9" s="129" t="s">
        <v>82</v>
      </c>
      <c r="H9" s="130" t="s">
        <v>82</v>
      </c>
      <c r="I9" s="128" t="s">
        <v>82</v>
      </c>
      <c r="J9" s="129" t="s">
        <v>82</v>
      </c>
      <c r="K9" s="128" t="s">
        <v>82</v>
      </c>
      <c r="L9" s="132" t="s">
        <v>82</v>
      </c>
      <c r="M9" s="129" t="s">
        <v>82</v>
      </c>
      <c r="N9" s="133" t="s">
        <v>82</v>
      </c>
      <c r="O9" s="130" t="s">
        <v>82</v>
      </c>
      <c r="P9" s="76"/>
      <c r="Q9" s="18" t="str">
        <f>IF('Internal People &amp; Staff'!F$13&gt;0,'Internal People &amp; Staff'!F$13,'Internal People &amp; Staff'!F$11)</f>
        <v>Medium</v>
      </c>
      <c r="R9" s="18" t="str">
        <f>IF(Processes!F$12&gt;0,Processes!F$12,Processes!F$10)</f>
        <v>Medium</v>
      </c>
      <c r="S9" s="18" t="str">
        <f>IF('Internal Systems'!F$12&gt;0,'Internal Systems'!F$12,'Internal Systems'!F$10)</f>
        <v>Medium</v>
      </c>
      <c r="T9" s="18" t="str">
        <f>IF(External!F$13&gt;0,External!F$13,External!F$11)</f>
        <v>Medium</v>
      </c>
      <c r="U9" s="17" t="str">
        <f>IF('IS Risk Assessment'!G$11&gt;0,'IS Risk Assessment'!$G11,'IS Risk Assessment'!$G9)</f>
        <v>Low</v>
      </c>
      <c r="W9" s="17" t="str">
        <f t="shared" si="0"/>
        <v>Medium</v>
      </c>
      <c r="X9" s="87"/>
      <c r="Y9" s="127" t="s">
        <v>96</v>
      </c>
      <c r="AA9" s="37"/>
      <c r="AB9" s="106" t="s">
        <v>84</v>
      </c>
      <c r="AC9" s="39" t="s">
        <v>85</v>
      </c>
      <c r="AD9" s="38" t="s">
        <v>97</v>
      </c>
      <c r="AE9" s="17" t="str">
        <f>IF(AND(W9="High",AC9="Strong/Robust"),"Medium",IF(AND(W9="High",AC9="Developed"),"Medium",IF(AND(W9="Medium",AC9="Strong/Robust"),"Low",IF(AND(W9="Medium",AC9="Developed"),"Low",IF(AND(W9="High",AC9="Weak/Undefined"),"High",IF(AND(W9="Medium",AC9="Weak/Undefined"),"Medium","Low"))))))</f>
        <v>Low</v>
      </c>
      <c r="AF9" s="38" t="s">
        <v>90</v>
      </c>
      <c r="AG9" s="38" t="s">
        <v>94</v>
      </c>
      <c r="AH9" s="38" t="s">
        <v>94</v>
      </c>
      <c r="AI9" s="40" t="s">
        <v>90</v>
      </c>
      <c r="AJ9" s="41"/>
      <c r="AK9" s="37"/>
      <c r="AL9" s="39"/>
      <c r="AM9" s="39"/>
      <c r="AN9" s="39"/>
      <c r="AO9" s="39"/>
      <c r="AP9" s="39"/>
      <c r="AQ9" s="39"/>
      <c r="AR9" s="39"/>
      <c r="AS9" s="39"/>
      <c r="AT9" s="39"/>
      <c r="AU9" s="39"/>
      <c r="AV9" s="138" t="s">
        <v>91</v>
      </c>
      <c r="AX9" s="105" t="s">
        <v>92</v>
      </c>
      <c r="AY9" s="106" t="s">
        <v>98</v>
      </c>
      <c r="AZ9" s="106" t="s">
        <v>94</v>
      </c>
    </row>
    <row r="10" spans="2:52" ht="62.25" customHeight="1" thickBot="1">
      <c r="B10" s="144"/>
      <c r="C10" s="146"/>
      <c r="D10" s="135" t="s">
        <v>99</v>
      </c>
      <c r="E10" s="128" t="s">
        <v>82</v>
      </c>
      <c r="F10" s="129" t="s">
        <v>82</v>
      </c>
      <c r="G10" s="129" t="s">
        <v>82</v>
      </c>
      <c r="H10" s="130" t="s">
        <v>82</v>
      </c>
      <c r="I10" s="128" t="s">
        <v>82</v>
      </c>
      <c r="J10" s="129" t="s">
        <v>82</v>
      </c>
      <c r="K10" s="128" t="s">
        <v>82</v>
      </c>
      <c r="L10" s="132" t="s">
        <v>82</v>
      </c>
      <c r="M10" s="129" t="s">
        <v>82</v>
      </c>
      <c r="N10" s="133" t="s">
        <v>82</v>
      </c>
      <c r="O10" s="130" t="s">
        <v>82</v>
      </c>
      <c r="P10" s="76"/>
      <c r="Q10" s="18" t="str">
        <f>IF('Internal People &amp; Staff'!G$13&gt;0,'Internal People &amp; Staff'!G$13,'Internal People &amp; Staff'!G$11)</f>
        <v>Medium</v>
      </c>
      <c r="R10" s="18" t="str">
        <f>IF(Processes!G$12&gt;0,Processes!G$12,Processes!G$10)</f>
        <v>High</v>
      </c>
      <c r="S10" s="18" t="str">
        <f>IF('Internal Systems'!G$12&gt;0,'Internal Systems'!G$12,'Internal Systems'!G$10)</f>
        <v>Medium</v>
      </c>
      <c r="T10" s="18" t="str">
        <f>IF(External!G$13&gt;0,External!G$13,External!G$11)</f>
        <v>High</v>
      </c>
      <c r="U10" s="17" t="str">
        <f>IF('IS Risk Assessment'!I$11&gt;0,'IS Risk Assessment'!$I11,'IS Risk Assessment'!$I9)</f>
        <v>Medium</v>
      </c>
      <c r="W10" s="17" t="str">
        <f>IF(COUNTIF(Q10:U10,"High")&gt;=1,"High",IF(COUNTIF(Q10:U10,"Medium")&gt;=1,"Medium",IF(COUNTIF(Q10:U10,"Low")&gt;=1,"Low","")))</f>
        <v>High</v>
      </c>
      <c r="X10" s="87"/>
      <c r="Y10" s="127" t="s">
        <v>100</v>
      </c>
      <c r="AA10" s="37"/>
      <c r="AB10" s="106" t="s">
        <v>84</v>
      </c>
      <c r="AC10" s="39" t="s">
        <v>101</v>
      </c>
      <c r="AD10" s="38" t="s">
        <v>102</v>
      </c>
      <c r="AE10" s="17" t="str">
        <f>IF(AND(W10="High",AC10="Strong/Robust"),"Medium",IF(AND(W10="High",AC10="Developed"),"Medium",IF(AND(W10="Medium",AC10="Strong/Robust"),"Low",IF(AND(W10="Medium",AC10="Developed"),"Low",IF(AND(W10="High",AC10="Weak/Undefined"),"High",IF(AND(W10="Medium",AC10="Weak/Undefined"),"Medium","Low"))))))</f>
        <v>High</v>
      </c>
      <c r="AF10" s="38" t="s">
        <v>87</v>
      </c>
      <c r="AG10" s="38" t="s">
        <v>103</v>
      </c>
      <c r="AH10" s="38" t="s">
        <v>104</v>
      </c>
      <c r="AI10" s="40" t="s">
        <v>90</v>
      </c>
      <c r="AJ10" s="41"/>
      <c r="AK10" s="37" t="s">
        <v>82</v>
      </c>
      <c r="AL10" s="39" t="s">
        <v>82</v>
      </c>
      <c r="AM10" s="39" t="s">
        <v>82</v>
      </c>
      <c r="AN10" s="39" t="s">
        <v>82</v>
      </c>
      <c r="AO10" s="39" t="s">
        <v>82</v>
      </c>
      <c r="AP10" s="39" t="s">
        <v>82</v>
      </c>
      <c r="AQ10" s="39" t="s">
        <v>82</v>
      </c>
      <c r="AR10" s="39" t="s">
        <v>82</v>
      </c>
      <c r="AS10" s="39" t="s">
        <v>82</v>
      </c>
      <c r="AT10" s="39" t="s">
        <v>82</v>
      </c>
      <c r="AU10" s="39"/>
      <c r="AV10" s="138" t="s">
        <v>91</v>
      </c>
      <c r="AX10" s="105" t="s">
        <v>91</v>
      </c>
      <c r="AY10" s="106" t="s">
        <v>105</v>
      </c>
      <c r="AZ10" s="106" t="s">
        <v>74</v>
      </c>
    </row>
    <row r="11" spans="2:52" ht="409.6" thickBot="1">
      <c r="B11" s="143"/>
      <c r="C11" s="145"/>
      <c r="D11" s="135" t="s">
        <v>106</v>
      </c>
      <c r="E11" s="128" t="s">
        <v>82</v>
      </c>
      <c r="F11" s="129" t="s">
        <v>82</v>
      </c>
      <c r="G11" s="129" t="s">
        <v>82</v>
      </c>
      <c r="H11" s="130" t="s">
        <v>82</v>
      </c>
      <c r="I11" s="128" t="s">
        <v>82</v>
      </c>
      <c r="J11" s="129" t="s">
        <v>82</v>
      </c>
      <c r="K11" s="128" t="s">
        <v>82</v>
      </c>
      <c r="L11" s="132" t="s">
        <v>82</v>
      </c>
      <c r="M11" s="129" t="s">
        <v>82</v>
      </c>
      <c r="N11" s="133" t="s">
        <v>82</v>
      </c>
      <c r="O11" s="130" t="s">
        <v>82</v>
      </c>
      <c r="P11" s="76"/>
      <c r="Q11" s="18" t="str">
        <f>IF('Internal People &amp; Staff'!H$13&gt;0,'Internal People &amp; Staff'!H$13,'Internal People &amp; Staff'!H$11)</f>
        <v>Medium</v>
      </c>
      <c r="R11" s="18" t="str">
        <f>IF(Processes!H$12&gt;0,Processes!H$12,Processes!H$10)</f>
        <v>High</v>
      </c>
      <c r="S11" s="18" t="str">
        <f>IF('Internal Systems'!H$12&gt;0,'Internal Systems'!H$12,'Internal Systems'!H$10)</f>
        <v>Medium</v>
      </c>
      <c r="T11" s="18" t="str">
        <f>IF(External!H$13&gt;0,External!H$13,External!H$11)</f>
        <v>High</v>
      </c>
      <c r="U11" s="17" t="str">
        <f>IF('IS Risk Assessment'!K$11&gt;0,'IS Risk Assessment'!$K11,'IS Risk Assessment'!$K9)</f>
        <v>Medium</v>
      </c>
      <c r="W11" s="17" t="str">
        <f t="shared" si="0"/>
        <v>High</v>
      </c>
      <c r="X11" s="87"/>
      <c r="Y11" s="127" t="s">
        <v>107</v>
      </c>
      <c r="AA11" s="37"/>
      <c r="AB11" s="106" t="s">
        <v>84</v>
      </c>
      <c r="AC11" s="39" t="s">
        <v>101</v>
      </c>
      <c r="AD11" s="38" t="s">
        <v>108</v>
      </c>
      <c r="AE11" s="17" t="str">
        <f t="shared" ref="AE11:AE37" si="1">IF(AND(W11="High",AC11="Strong/Robust"),"Medium",IF(AND(W11="High",AC11="Developed"),"Medium",IF(AND(W11="Medium",AC11="Strong/Robust"),"Low",IF(AND(W11="Medium",AC11="Developed"),"Low",IF(AND(W11="High",AC11="Weak/Undefined"),"High",IF(AND(W11="Medium",AC11="Weak/Undefined"),"Medium","Low"))))))</f>
        <v>High</v>
      </c>
      <c r="AF11" s="38" t="s">
        <v>87</v>
      </c>
      <c r="AG11" s="38" t="s">
        <v>109</v>
      </c>
      <c r="AH11" s="38" t="s">
        <v>104</v>
      </c>
      <c r="AI11" s="40" t="s">
        <v>90</v>
      </c>
      <c r="AJ11" s="41"/>
      <c r="AK11" s="37"/>
      <c r="AL11" s="39"/>
      <c r="AM11" s="39"/>
      <c r="AN11" s="39"/>
      <c r="AO11" s="39"/>
      <c r="AP11" s="39"/>
      <c r="AQ11" s="39"/>
      <c r="AR11" s="39"/>
      <c r="AS11" s="39"/>
      <c r="AT11" s="39"/>
      <c r="AU11" s="39"/>
      <c r="AV11" s="138" t="s">
        <v>91</v>
      </c>
      <c r="AX11" s="105" t="s">
        <v>92</v>
      </c>
      <c r="AY11" s="106" t="s">
        <v>110</v>
      </c>
      <c r="AZ11" s="106" t="s">
        <v>94</v>
      </c>
    </row>
    <row r="12" spans="2:52" ht="114.75" thickBot="1">
      <c r="B12" s="143"/>
      <c r="C12" s="145"/>
      <c r="D12" s="135" t="s">
        <v>111</v>
      </c>
      <c r="E12" s="128" t="s">
        <v>82</v>
      </c>
      <c r="F12" s="129" t="s">
        <v>82</v>
      </c>
      <c r="G12" s="129" t="s">
        <v>82</v>
      </c>
      <c r="H12" s="130" t="s">
        <v>82</v>
      </c>
      <c r="I12" s="128" t="s">
        <v>82</v>
      </c>
      <c r="J12" s="129" t="s">
        <v>82</v>
      </c>
      <c r="K12" s="128" t="s">
        <v>82</v>
      </c>
      <c r="L12" s="132" t="s">
        <v>82</v>
      </c>
      <c r="M12" s="129" t="s">
        <v>82</v>
      </c>
      <c r="N12" s="133" t="s">
        <v>82</v>
      </c>
      <c r="O12" s="130" t="s">
        <v>82</v>
      </c>
      <c r="P12" s="76"/>
      <c r="Q12" s="18" t="str">
        <f>IF('Internal People &amp; Staff'!I$13&gt;0,'Internal People &amp; Staff'!I$13,'Internal People &amp; Staff'!I$11)</f>
        <v>Medium</v>
      </c>
      <c r="R12" s="18" t="str">
        <f>IF(Processes!I$12&gt;0,Processes!I$12,Processes!I$10)</f>
        <v>Medium</v>
      </c>
      <c r="S12" s="18" t="str">
        <f>IF('Internal Systems'!I$12&gt;0,'Internal Systems'!I$12,'Internal Systems'!I$10)</f>
        <v>Low</v>
      </c>
      <c r="T12" s="18" t="str">
        <f>IF(External!I$13&gt;0,External!I$13,External!I$11)</f>
        <v>Low</v>
      </c>
      <c r="U12" s="17" t="str">
        <f>IF('IS Risk Assessment'!M$11&gt;0,'IS Risk Assessment'!$M11,'IS Risk Assessment'!$M9)</f>
        <v>Low</v>
      </c>
      <c r="W12" s="17" t="str">
        <f t="shared" si="0"/>
        <v>Medium</v>
      </c>
      <c r="X12" s="87"/>
      <c r="Y12" s="127" t="s">
        <v>112</v>
      </c>
      <c r="AA12" s="37"/>
      <c r="AB12" s="106" t="s">
        <v>84</v>
      </c>
      <c r="AC12" s="39" t="s">
        <v>85</v>
      </c>
      <c r="AD12" s="38" t="s">
        <v>113</v>
      </c>
      <c r="AE12" s="17" t="str">
        <f t="shared" si="1"/>
        <v>Low</v>
      </c>
      <c r="AF12" s="38" t="s">
        <v>87</v>
      </c>
      <c r="AG12" s="38" t="s">
        <v>114</v>
      </c>
      <c r="AH12" s="38" t="s">
        <v>115</v>
      </c>
      <c r="AI12" s="40" t="s">
        <v>90</v>
      </c>
      <c r="AJ12" s="41"/>
      <c r="AK12" s="37"/>
      <c r="AL12" s="39"/>
      <c r="AM12" s="39"/>
      <c r="AN12" s="39"/>
      <c r="AO12" s="39"/>
      <c r="AP12" s="39"/>
      <c r="AQ12" s="39"/>
      <c r="AR12" s="39"/>
      <c r="AS12" s="39"/>
      <c r="AT12" s="39"/>
      <c r="AU12" s="39"/>
      <c r="AV12" s="138" t="s">
        <v>91</v>
      </c>
      <c r="AX12" s="105" t="s">
        <v>92</v>
      </c>
      <c r="AY12" s="106" t="s">
        <v>116</v>
      </c>
      <c r="AZ12" s="106" t="s">
        <v>94</v>
      </c>
    </row>
    <row r="13" spans="2:52" ht="409.6" thickBot="1">
      <c r="B13" s="143"/>
      <c r="C13" s="145"/>
      <c r="D13" s="135" t="s">
        <v>117</v>
      </c>
      <c r="E13" s="128" t="s">
        <v>82</v>
      </c>
      <c r="F13" s="129" t="s">
        <v>82</v>
      </c>
      <c r="G13" s="129" t="s">
        <v>82</v>
      </c>
      <c r="H13" s="130" t="s">
        <v>82</v>
      </c>
      <c r="I13" s="128" t="s">
        <v>82</v>
      </c>
      <c r="J13" s="129" t="s">
        <v>82</v>
      </c>
      <c r="K13" s="128" t="s">
        <v>82</v>
      </c>
      <c r="L13" s="132" t="s">
        <v>82</v>
      </c>
      <c r="M13" s="129" t="s">
        <v>82</v>
      </c>
      <c r="N13" s="133" t="s">
        <v>82</v>
      </c>
      <c r="O13" s="130" t="s">
        <v>82</v>
      </c>
      <c r="P13" s="76"/>
      <c r="Q13" s="18" t="str">
        <f>IF('Internal People &amp; Staff'!J$13&gt;0,'Internal People &amp; Staff'!J$13,'Internal People &amp; Staff'!J$11)</f>
        <v>Medium</v>
      </c>
      <c r="R13" s="18" t="str">
        <f>IF(Processes!J$12&gt;0,Processes!J$12,Processes!J$10)</f>
        <v>Medium</v>
      </c>
      <c r="S13" s="18" t="str">
        <f>IF('Internal Systems'!J$12&gt;0,'Internal Systems'!J$12,'Internal Systems'!J$10)</f>
        <v>Medium</v>
      </c>
      <c r="T13" s="18" t="str">
        <f>IF(External!J$13&gt;0,External!J$13,External!J$11)</f>
        <v>Medium</v>
      </c>
      <c r="U13" s="17" t="str">
        <f>IF('IS Risk Assessment'!O$11&gt;0,'IS Risk Assessment'!$O$11,'IS Risk Assessment'!$O$9)</f>
        <v>Medium</v>
      </c>
      <c r="W13" s="17" t="str">
        <f t="shared" si="0"/>
        <v>Medium</v>
      </c>
      <c r="X13" s="87"/>
      <c r="Y13" s="127" t="s">
        <v>118</v>
      </c>
      <c r="AA13" s="37"/>
      <c r="AB13" s="106" t="s">
        <v>84</v>
      </c>
      <c r="AC13" s="39" t="s">
        <v>85</v>
      </c>
      <c r="AD13" s="38" t="s">
        <v>119</v>
      </c>
      <c r="AE13" s="17" t="str">
        <f t="shared" si="1"/>
        <v>Low</v>
      </c>
      <c r="AF13" s="38" t="s">
        <v>87</v>
      </c>
      <c r="AG13" s="38" t="s">
        <v>120</v>
      </c>
      <c r="AH13" s="38" t="s">
        <v>104</v>
      </c>
      <c r="AI13" s="40" t="s">
        <v>90</v>
      </c>
      <c r="AJ13" s="41"/>
      <c r="AK13" s="37" t="s">
        <v>82</v>
      </c>
      <c r="AL13" s="39"/>
      <c r="AM13" s="39"/>
      <c r="AN13" s="39"/>
      <c r="AO13" s="39"/>
      <c r="AP13" s="39"/>
      <c r="AQ13" s="39"/>
      <c r="AR13" s="39"/>
      <c r="AS13" s="39"/>
      <c r="AT13" s="39"/>
      <c r="AU13" s="39" t="s">
        <v>82</v>
      </c>
      <c r="AV13" s="138" t="s">
        <v>91</v>
      </c>
      <c r="AX13" s="105" t="s">
        <v>92</v>
      </c>
      <c r="AY13" s="106" t="s">
        <v>110</v>
      </c>
      <c r="AZ13" s="106" t="s">
        <v>94</v>
      </c>
    </row>
    <row r="14" spans="2:52" ht="243" thickBot="1">
      <c r="B14" s="143"/>
      <c r="C14" s="145"/>
      <c r="D14" s="135" t="s">
        <v>121</v>
      </c>
      <c r="E14" s="128"/>
      <c r="F14" s="129"/>
      <c r="G14" s="129"/>
      <c r="H14" s="130"/>
      <c r="I14" s="128" t="s">
        <v>82</v>
      </c>
      <c r="J14" s="129"/>
      <c r="K14" s="128" t="s">
        <v>82</v>
      </c>
      <c r="L14" s="132" t="s">
        <v>82</v>
      </c>
      <c r="M14" s="129"/>
      <c r="N14" s="133"/>
      <c r="O14" s="130"/>
      <c r="P14" s="76"/>
      <c r="Q14" s="18" t="str">
        <f>IF('Internal People &amp; Staff'!K$13&gt;0,'Internal People &amp; Staff'!K$13,'Internal People &amp; Staff'!K$11)</f>
        <v/>
      </c>
      <c r="R14" s="18" t="str">
        <f>IF(Processes!K$12&gt;0,Processes!K$12,Processes!K$10)</f>
        <v/>
      </c>
      <c r="S14" s="18" t="str">
        <f>IF('Internal Systems'!K$12&gt;0,'Internal Systems'!K$12,'Internal Systems'!K$10)</f>
        <v/>
      </c>
      <c r="T14" s="18" t="str">
        <f>IF(External!K$13&gt;0,External!K$13,External!K$11)</f>
        <v/>
      </c>
      <c r="U14" s="17" t="str">
        <f>IF('IS Risk Assessment'!Q$11&gt;0,'IS Risk Assessment'!$Q$11,'IS Risk Assessment'!$Q$9)</f>
        <v/>
      </c>
      <c r="W14" s="17" t="str">
        <f t="shared" si="0"/>
        <v/>
      </c>
      <c r="X14" s="87"/>
      <c r="Y14" s="127" t="s">
        <v>122</v>
      </c>
      <c r="AA14" s="37" t="s">
        <v>123</v>
      </c>
      <c r="AB14" s="38" t="s">
        <v>122</v>
      </c>
      <c r="AC14" s="39" t="s">
        <v>85</v>
      </c>
      <c r="AD14" s="38" t="s">
        <v>124</v>
      </c>
      <c r="AE14" s="17" t="str">
        <f t="shared" si="1"/>
        <v>Low</v>
      </c>
      <c r="AF14" s="38" t="s">
        <v>125</v>
      </c>
      <c r="AG14" s="38" t="s">
        <v>94</v>
      </c>
      <c r="AH14" s="38" t="s">
        <v>126</v>
      </c>
      <c r="AI14" s="40" t="s">
        <v>90</v>
      </c>
      <c r="AJ14" s="41"/>
      <c r="AK14" s="37"/>
      <c r="AL14" s="39"/>
      <c r="AM14" s="39"/>
      <c r="AN14" s="39"/>
      <c r="AO14" s="39"/>
      <c r="AP14" s="39"/>
      <c r="AQ14" s="39"/>
      <c r="AR14" s="39"/>
      <c r="AS14" s="39"/>
      <c r="AT14" s="39"/>
      <c r="AU14" s="39"/>
      <c r="AV14" s="138" t="s">
        <v>91</v>
      </c>
      <c r="AX14" s="105" t="s">
        <v>92</v>
      </c>
      <c r="AY14" s="106" t="s">
        <v>110</v>
      </c>
      <c r="AZ14" s="106" t="s">
        <v>94</v>
      </c>
    </row>
    <row r="15" spans="2:52" hidden="1" thickBot="1">
      <c r="B15" s="143"/>
      <c r="C15" s="145"/>
      <c r="D15" s="36"/>
      <c r="E15" s="115"/>
      <c r="F15" s="116"/>
      <c r="G15" s="116"/>
      <c r="H15" s="117"/>
      <c r="I15" s="115"/>
      <c r="J15" s="116"/>
      <c r="K15" s="115"/>
      <c r="L15" s="118"/>
      <c r="M15" s="116"/>
      <c r="N15" s="119"/>
      <c r="O15" s="117"/>
      <c r="P15" s="76"/>
      <c r="Q15" s="18" t="str">
        <f>IF('Internal People &amp; Staff'!L$13&gt;0,'Internal People &amp; Staff'!L$13,'Internal People &amp; Staff'!L$11)</f>
        <v/>
      </c>
      <c r="R15" s="18" t="str">
        <f>IF(Processes!L$12&gt;0,Processes!L$12,Processes!L$10)</f>
        <v>Low</v>
      </c>
      <c r="S15" s="18" t="str">
        <f>IF('Internal Systems'!L$12&gt;0,'Internal Systems'!L$12,'Internal Systems'!L$10)</f>
        <v/>
      </c>
      <c r="T15" s="18" t="str">
        <f>IF(External!L$13&gt;0,External!L$13,External!L$11)</f>
        <v/>
      </c>
      <c r="U15" s="17" t="str">
        <f>IF('IS Risk Assessment'!S$11&gt;0,'IS Risk Assessment'!S$11,'IS Risk Assessment'!S$9)</f>
        <v/>
      </c>
      <c r="W15" s="17" t="str">
        <f t="shared" si="0"/>
        <v>Low</v>
      </c>
      <c r="X15" s="87"/>
      <c r="Y15" s="17"/>
      <c r="AA15" s="37"/>
      <c r="AB15" s="38"/>
      <c r="AC15" s="39"/>
      <c r="AD15" s="38"/>
      <c r="AE15" s="17" t="str">
        <f t="shared" si="1"/>
        <v>Low</v>
      </c>
      <c r="AF15" s="38"/>
      <c r="AG15" s="38"/>
      <c r="AH15" s="38"/>
      <c r="AI15" s="40"/>
      <c r="AJ15" s="41"/>
      <c r="AK15" s="37"/>
      <c r="AL15" s="39"/>
      <c r="AM15" s="39"/>
      <c r="AN15" s="39"/>
      <c r="AO15" s="39"/>
      <c r="AP15" s="39"/>
      <c r="AQ15" s="39"/>
      <c r="AR15" s="39"/>
      <c r="AS15" s="39"/>
      <c r="AT15" s="39"/>
      <c r="AU15" s="39"/>
      <c r="AV15" s="138"/>
      <c r="AX15" s="105"/>
      <c r="AY15" s="106"/>
      <c r="AZ15" s="106"/>
    </row>
    <row r="16" spans="2:52" hidden="1" thickBot="1">
      <c r="B16" s="143"/>
      <c r="C16" s="145"/>
      <c r="D16" s="36"/>
      <c r="E16" s="115"/>
      <c r="F16" s="116"/>
      <c r="G16" s="116"/>
      <c r="H16" s="117"/>
      <c r="I16" s="115"/>
      <c r="J16" s="116"/>
      <c r="K16" s="115"/>
      <c r="L16" s="118"/>
      <c r="M16" s="116"/>
      <c r="N16" s="119"/>
      <c r="O16" s="117"/>
      <c r="P16" s="76"/>
      <c r="Q16" s="18" t="str">
        <f>IF('Internal People &amp; Staff'!M$13&gt;0,'Internal People &amp; Staff'!M$13,'Internal People &amp; Staff'!M$11)</f>
        <v/>
      </c>
      <c r="R16" s="18" t="str">
        <f>IF(Processes!M$12&gt;0,Processes!M$12,Processes!M$10)</f>
        <v/>
      </c>
      <c r="S16" s="18" t="str">
        <f>IF('Internal Systems'!M$12&gt;0,'Internal Systems'!M$12,'Internal Systems'!M$10)</f>
        <v/>
      </c>
      <c r="T16" s="18" t="str">
        <f>IF(External!M$13&gt;0,External!M$13,External!M$11)</f>
        <v/>
      </c>
      <c r="U16" s="17" t="str">
        <f>IF('IS Risk Assessment'!U$11&gt;0,'IS Risk Assessment'!U$11,'IS Risk Assessment'!U$9)</f>
        <v/>
      </c>
      <c r="W16" s="17" t="str">
        <f t="shared" si="0"/>
        <v/>
      </c>
      <c r="X16" s="87"/>
      <c r="Y16" s="17"/>
      <c r="AA16" s="37"/>
      <c r="AB16" s="38"/>
      <c r="AC16" s="39"/>
      <c r="AD16" s="38"/>
      <c r="AE16" s="17" t="str">
        <f t="shared" si="1"/>
        <v>Low</v>
      </c>
      <c r="AF16" s="38"/>
      <c r="AG16" s="38"/>
      <c r="AH16" s="38"/>
      <c r="AI16" s="40"/>
      <c r="AJ16" s="41"/>
      <c r="AK16" s="37"/>
      <c r="AL16" s="39"/>
      <c r="AM16" s="39"/>
      <c r="AN16" s="39"/>
      <c r="AO16" s="39"/>
      <c r="AP16" s="39"/>
      <c r="AQ16" s="39"/>
      <c r="AR16" s="39"/>
      <c r="AS16" s="39"/>
      <c r="AT16" s="39"/>
      <c r="AU16" s="39"/>
      <c r="AV16" s="138"/>
      <c r="AX16" s="105"/>
      <c r="AY16" s="106"/>
      <c r="AZ16" s="106"/>
    </row>
    <row r="17" spans="2:52" hidden="1" thickBot="1">
      <c r="B17" s="143"/>
      <c r="C17" s="145"/>
      <c r="D17" s="36"/>
      <c r="E17" s="115"/>
      <c r="F17" s="116"/>
      <c r="G17" s="116"/>
      <c r="H17" s="117"/>
      <c r="I17" s="115"/>
      <c r="J17" s="116"/>
      <c r="K17" s="115"/>
      <c r="L17" s="118"/>
      <c r="M17" s="116"/>
      <c r="N17" s="119"/>
      <c r="O17" s="117"/>
      <c r="P17" s="76"/>
      <c r="Q17" s="18" t="str">
        <f>IF('Internal People &amp; Staff'!N$13&gt;0,'Internal People &amp; Staff'!N$13,'Internal People &amp; Staff'!N$11)</f>
        <v/>
      </c>
      <c r="R17" s="18" t="str">
        <f>IF(Processes!N$12&gt;0,Processes!N$12,Processes!N$10)</f>
        <v/>
      </c>
      <c r="S17" s="18" t="str">
        <f>IF('Internal Systems'!N$12&gt;0,'Internal Systems'!N$12,'Internal Systems'!N$10)</f>
        <v/>
      </c>
      <c r="T17" s="18" t="str">
        <f>IF(External!N$13&gt;0,External!N$13,External!N$11)</f>
        <v/>
      </c>
      <c r="U17" s="17" t="str">
        <f>IF('IS Risk Assessment'!W$11&gt;0,'IS Risk Assessment'!W$11,'IS Risk Assessment'!W$9)</f>
        <v/>
      </c>
      <c r="W17" s="17" t="str">
        <f t="shared" si="0"/>
        <v/>
      </c>
      <c r="X17" s="87"/>
      <c r="Y17" s="17"/>
      <c r="AA17" s="37"/>
      <c r="AB17" s="38"/>
      <c r="AC17" s="39"/>
      <c r="AD17" s="38"/>
      <c r="AE17" s="17" t="str">
        <f t="shared" si="1"/>
        <v>Low</v>
      </c>
      <c r="AF17" s="38"/>
      <c r="AG17" s="38"/>
      <c r="AH17" s="38"/>
      <c r="AI17" s="40"/>
      <c r="AJ17" s="41"/>
      <c r="AK17" s="37"/>
      <c r="AL17" s="39"/>
      <c r="AM17" s="39"/>
      <c r="AN17" s="39"/>
      <c r="AO17" s="39"/>
      <c r="AP17" s="39"/>
      <c r="AQ17" s="39"/>
      <c r="AR17" s="39"/>
      <c r="AS17" s="39"/>
      <c r="AT17" s="39"/>
      <c r="AU17" s="39"/>
      <c r="AV17" s="138"/>
      <c r="AX17" s="105"/>
      <c r="AY17" s="106"/>
      <c r="AZ17" s="106"/>
    </row>
    <row r="18" spans="2:52" hidden="1" thickBot="1">
      <c r="B18" s="143"/>
      <c r="C18" s="145"/>
      <c r="D18" s="36"/>
      <c r="E18" s="115"/>
      <c r="F18" s="116"/>
      <c r="G18" s="116"/>
      <c r="H18" s="117"/>
      <c r="I18" s="115"/>
      <c r="J18" s="116"/>
      <c r="K18" s="115"/>
      <c r="L18" s="118"/>
      <c r="M18" s="116"/>
      <c r="N18" s="119"/>
      <c r="O18" s="117"/>
      <c r="P18" s="76"/>
      <c r="Q18" s="18" t="str">
        <f>IF('Internal People &amp; Staff'!O$13&gt;0,'Internal People &amp; Staff'!O$13,'Internal People &amp; Staff'!O$11)</f>
        <v/>
      </c>
      <c r="R18" s="18" t="str">
        <f>IF(Processes!O$12&gt;0,Processes!O$12,Processes!O$10)</f>
        <v/>
      </c>
      <c r="S18" s="18" t="str">
        <f>IF('Internal Systems'!O$12&gt;0,'Internal Systems'!O$12,'Internal Systems'!O$10)</f>
        <v/>
      </c>
      <c r="T18" s="18" t="str">
        <f>IF(External!O$13&gt;0,External!O$13,External!O$11)</f>
        <v/>
      </c>
      <c r="U18" s="17" t="str">
        <f>IF('IS Risk Assessment'!Y$11&gt;0,'IS Risk Assessment'!Y$11,'IS Risk Assessment'!Y$9)</f>
        <v/>
      </c>
      <c r="W18" s="17" t="str">
        <f t="shared" si="0"/>
        <v/>
      </c>
      <c r="X18" s="87"/>
      <c r="Y18" s="17"/>
      <c r="AA18" s="37"/>
      <c r="AB18" s="38"/>
      <c r="AC18" s="39"/>
      <c r="AD18" s="38"/>
      <c r="AE18" s="17" t="str">
        <f t="shared" si="1"/>
        <v>Low</v>
      </c>
      <c r="AF18" s="38"/>
      <c r="AG18" s="38"/>
      <c r="AH18" s="38"/>
      <c r="AI18" s="40"/>
      <c r="AJ18" s="41"/>
      <c r="AK18" s="37"/>
      <c r="AL18" s="39"/>
      <c r="AM18" s="39"/>
      <c r="AN18" s="39"/>
      <c r="AO18" s="39"/>
      <c r="AP18" s="39"/>
      <c r="AQ18" s="39"/>
      <c r="AR18" s="39"/>
      <c r="AS18" s="39"/>
      <c r="AT18" s="39"/>
      <c r="AU18" s="39"/>
      <c r="AV18" s="138"/>
      <c r="AX18" s="105"/>
      <c r="AY18" s="106"/>
      <c r="AZ18" s="106"/>
    </row>
    <row r="19" spans="2:52" hidden="1" thickBot="1">
      <c r="B19" s="143"/>
      <c r="C19" s="145"/>
      <c r="D19" s="36"/>
      <c r="E19" s="115"/>
      <c r="F19" s="116"/>
      <c r="G19" s="116"/>
      <c r="H19" s="117"/>
      <c r="I19" s="115"/>
      <c r="J19" s="116"/>
      <c r="K19" s="115"/>
      <c r="L19" s="118"/>
      <c r="M19" s="116"/>
      <c r="N19" s="119"/>
      <c r="O19" s="117"/>
      <c r="P19" s="76"/>
      <c r="Q19" s="18" t="str">
        <f>IF('Internal People &amp; Staff'!P$13&gt;0,'Internal People &amp; Staff'!P$13,'Internal People &amp; Staff'!P$11)</f>
        <v/>
      </c>
      <c r="R19" s="18" t="str">
        <f>IF(Processes!P$12&gt;0,Processes!P$12,Processes!P$10)</f>
        <v/>
      </c>
      <c r="S19" s="18" t="str">
        <f>IF('Internal Systems'!P$12&gt;0,'Internal Systems'!P$12,'Internal Systems'!P$10)</f>
        <v/>
      </c>
      <c r="T19" s="18" t="str">
        <f>IF(External!P$13&gt;0,External!P$13,External!P$11)</f>
        <v/>
      </c>
      <c r="U19" s="17" t="str">
        <f>IF('IS Risk Assessment'!AA$11&gt;0,'IS Risk Assessment'!AA$11,'IS Risk Assessment'!AA$9)</f>
        <v/>
      </c>
      <c r="W19" s="17" t="str">
        <f t="shared" si="0"/>
        <v/>
      </c>
      <c r="X19" s="87"/>
      <c r="Y19" s="17"/>
      <c r="AA19" s="37"/>
      <c r="AB19" s="38"/>
      <c r="AC19" s="39"/>
      <c r="AD19" s="38"/>
      <c r="AE19" s="17" t="str">
        <f t="shared" si="1"/>
        <v>Low</v>
      </c>
      <c r="AF19" s="38"/>
      <c r="AG19" s="38"/>
      <c r="AH19" s="38"/>
      <c r="AI19" s="40"/>
      <c r="AJ19" s="41"/>
      <c r="AK19" s="37"/>
      <c r="AL19" s="39"/>
      <c r="AM19" s="39"/>
      <c r="AN19" s="39"/>
      <c r="AO19" s="39"/>
      <c r="AP19" s="39"/>
      <c r="AQ19" s="39"/>
      <c r="AR19" s="39"/>
      <c r="AS19" s="39"/>
      <c r="AT19" s="39"/>
      <c r="AU19" s="39"/>
      <c r="AV19" s="138"/>
      <c r="AX19" s="105"/>
      <c r="AY19" s="106"/>
      <c r="AZ19" s="106"/>
    </row>
    <row r="20" spans="2:52" hidden="1" thickBot="1">
      <c r="B20" s="143"/>
      <c r="C20" s="145"/>
      <c r="D20" s="36"/>
      <c r="E20" s="115"/>
      <c r="F20" s="116"/>
      <c r="G20" s="116"/>
      <c r="H20" s="117"/>
      <c r="I20" s="115"/>
      <c r="J20" s="116"/>
      <c r="K20" s="115"/>
      <c r="L20" s="118"/>
      <c r="M20" s="116"/>
      <c r="N20" s="119"/>
      <c r="O20" s="117"/>
      <c r="P20" s="76"/>
      <c r="Q20" s="18" t="str">
        <f>IF('Internal People &amp; Staff'!Q$13&gt;0,'Internal People &amp; Staff'!Q$13,'Internal People &amp; Staff'!Q$11)</f>
        <v/>
      </c>
      <c r="R20" s="18" t="str">
        <f>IF(Processes!Q$12&gt;0,Processes!Q$12,Processes!Q$10)</f>
        <v/>
      </c>
      <c r="S20" s="18" t="str">
        <f>IF('Internal Systems'!Q$12&gt;0,'Internal Systems'!Q$12,'Internal Systems'!Q$10)</f>
        <v/>
      </c>
      <c r="T20" s="18" t="str">
        <f>IF(External!Q$13&gt;0,External!Q$13,External!Q$11)</f>
        <v/>
      </c>
      <c r="U20" s="17" t="str">
        <f>IF('IS Risk Assessment'!AC$11&gt;0,'IS Risk Assessment'!AC$11,'IS Risk Assessment'!AC$9)</f>
        <v/>
      </c>
      <c r="W20" s="17" t="str">
        <f t="shared" si="0"/>
        <v/>
      </c>
      <c r="X20" s="87"/>
      <c r="Y20" s="17"/>
      <c r="AA20" s="37"/>
      <c r="AB20" s="38"/>
      <c r="AC20" s="39"/>
      <c r="AD20" s="38"/>
      <c r="AE20" s="17" t="str">
        <f t="shared" si="1"/>
        <v>Low</v>
      </c>
      <c r="AF20" s="38"/>
      <c r="AG20" s="38"/>
      <c r="AH20" s="38"/>
      <c r="AI20" s="40"/>
      <c r="AJ20" s="41"/>
      <c r="AK20" s="37"/>
      <c r="AL20" s="39"/>
      <c r="AM20" s="39"/>
      <c r="AN20" s="39"/>
      <c r="AO20" s="39"/>
      <c r="AP20" s="39"/>
      <c r="AQ20" s="39"/>
      <c r="AR20" s="39"/>
      <c r="AS20" s="39"/>
      <c r="AT20" s="39"/>
      <c r="AU20" s="39"/>
      <c r="AV20" s="138"/>
      <c r="AX20" s="105"/>
      <c r="AY20" s="106"/>
      <c r="AZ20" s="106"/>
    </row>
    <row r="21" spans="2:52" hidden="1" thickBot="1">
      <c r="B21" s="143"/>
      <c r="C21" s="145"/>
      <c r="D21" s="36"/>
      <c r="E21" s="115"/>
      <c r="F21" s="116"/>
      <c r="G21" s="116"/>
      <c r="H21" s="117"/>
      <c r="I21" s="115"/>
      <c r="J21" s="116"/>
      <c r="K21" s="115"/>
      <c r="L21" s="118"/>
      <c r="M21" s="116"/>
      <c r="N21" s="119"/>
      <c r="O21" s="117"/>
      <c r="P21" s="76"/>
      <c r="Q21" s="18" t="str">
        <f>IF('Internal People &amp; Staff'!R$13&gt;0,'Internal People &amp; Staff'!R$13,'Internal People &amp; Staff'!R$11)</f>
        <v/>
      </c>
      <c r="R21" s="18" t="str">
        <f>IF(Processes!R$12&gt;0,Processes!R$12,Processes!R$10)</f>
        <v/>
      </c>
      <c r="S21" s="18" t="str">
        <f>IF('Internal Systems'!R$12&gt;0,'Internal Systems'!R$12,'Internal Systems'!R$10)</f>
        <v/>
      </c>
      <c r="T21" s="18" t="str">
        <f>IF(External!R$13&gt;0,External!R$13,External!R$11)</f>
        <v/>
      </c>
      <c r="U21" s="17" t="str">
        <f>IF('IS Risk Assessment'!AE$11&gt;0,'IS Risk Assessment'!AE$11,'IS Risk Assessment'!AE$9)</f>
        <v/>
      </c>
      <c r="W21" s="17" t="str">
        <f t="shared" si="0"/>
        <v/>
      </c>
      <c r="X21" s="87"/>
      <c r="Y21" s="17"/>
      <c r="AA21" s="37"/>
      <c r="AB21" s="38"/>
      <c r="AC21" s="39"/>
      <c r="AD21" s="38"/>
      <c r="AE21" s="17" t="str">
        <f t="shared" si="1"/>
        <v>Low</v>
      </c>
      <c r="AF21" s="38"/>
      <c r="AG21" s="38"/>
      <c r="AH21" s="38"/>
      <c r="AI21" s="40"/>
      <c r="AJ21" s="41"/>
      <c r="AK21" s="37"/>
      <c r="AL21" s="39"/>
      <c r="AM21" s="39"/>
      <c r="AN21" s="39"/>
      <c r="AO21" s="39"/>
      <c r="AP21" s="39"/>
      <c r="AQ21" s="39"/>
      <c r="AR21" s="39"/>
      <c r="AS21" s="39"/>
      <c r="AT21" s="39"/>
      <c r="AU21" s="39"/>
      <c r="AV21" s="138"/>
      <c r="AX21" s="105"/>
      <c r="AY21" s="106"/>
      <c r="AZ21" s="106"/>
    </row>
    <row r="22" spans="2:52" hidden="1" thickBot="1">
      <c r="B22" s="143"/>
      <c r="C22" s="145"/>
      <c r="D22" s="36"/>
      <c r="E22" s="115"/>
      <c r="F22" s="116"/>
      <c r="G22" s="116"/>
      <c r="H22" s="117"/>
      <c r="I22" s="115"/>
      <c r="J22" s="116"/>
      <c r="K22" s="115"/>
      <c r="L22" s="118"/>
      <c r="M22" s="116"/>
      <c r="N22" s="119"/>
      <c r="O22" s="117"/>
      <c r="P22" s="76"/>
      <c r="Q22" s="18" t="str">
        <f>IF('Internal People &amp; Staff'!S$13&gt;0,'Internal People &amp; Staff'!S$13,'Internal People &amp; Staff'!S$11)</f>
        <v/>
      </c>
      <c r="R22" s="18" t="str">
        <f>IF(Processes!S$12&gt;0,Processes!S$12,Processes!S$10)</f>
        <v/>
      </c>
      <c r="S22" s="18" t="str">
        <f>IF('Internal Systems'!S$12&gt;0,'Internal Systems'!S$12,'Internal Systems'!S$10)</f>
        <v/>
      </c>
      <c r="T22" s="18" t="str">
        <f>IF(External!S$13&gt;0,External!S$13,External!S$11)</f>
        <v/>
      </c>
      <c r="U22" s="17" t="str">
        <f>IF('IS Risk Assessment'!AG$11&gt;0,'IS Risk Assessment'!AG$11,'IS Risk Assessment'!AG$9)</f>
        <v/>
      </c>
      <c r="W22" s="17" t="str">
        <f t="shared" si="0"/>
        <v/>
      </c>
      <c r="X22" s="87"/>
      <c r="Y22" s="17"/>
      <c r="AA22" s="37"/>
      <c r="AB22" s="38"/>
      <c r="AC22" s="39"/>
      <c r="AD22" s="38"/>
      <c r="AE22" s="17" t="str">
        <f t="shared" si="1"/>
        <v>Low</v>
      </c>
      <c r="AF22" s="38"/>
      <c r="AG22" s="38"/>
      <c r="AH22" s="38"/>
      <c r="AI22" s="40"/>
      <c r="AJ22" s="41"/>
      <c r="AK22" s="37"/>
      <c r="AL22" s="39"/>
      <c r="AM22" s="39"/>
      <c r="AN22" s="39"/>
      <c r="AO22" s="39"/>
      <c r="AP22" s="39"/>
      <c r="AQ22" s="39"/>
      <c r="AR22" s="39"/>
      <c r="AS22" s="39"/>
      <c r="AT22" s="39"/>
      <c r="AU22" s="39"/>
      <c r="AV22" s="138"/>
      <c r="AX22" s="105"/>
      <c r="AY22" s="106"/>
      <c r="AZ22" s="106"/>
    </row>
    <row r="23" spans="2:52" hidden="1" thickBot="1">
      <c r="B23" s="143"/>
      <c r="C23" s="145"/>
      <c r="D23" s="36"/>
      <c r="E23" s="115"/>
      <c r="F23" s="116"/>
      <c r="G23" s="116"/>
      <c r="H23" s="117"/>
      <c r="I23" s="115"/>
      <c r="J23" s="116"/>
      <c r="K23" s="115"/>
      <c r="L23" s="118"/>
      <c r="M23" s="116"/>
      <c r="N23" s="119"/>
      <c r="O23" s="117"/>
      <c r="P23" s="76"/>
      <c r="Q23" s="18" t="str">
        <f>IF('Internal People &amp; Staff'!T$13&gt;0,'Internal People &amp; Staff'!T$13,'Internal People &amp; Staff'!T$11)</f>
        <v/>
      </c>
      <c r="R23" s="18" t="str">
        <f>IF(Processes!T$12&gt;0,Processes!T$12,Processes!T$10)</f>
        <v/>
      </c>
      <c r="S23" s="18" t="str">
        <f>IF('Internal Systems'!T$12&gt;0,'Internal Systems'!T$12,'Internal Systems'!T$10)</f>
        <v/>
      </c>
      <c r="T23" s="18" t="str">
        <f>IF(External!T$13&gt;0,External!T$13,External!T$11)</f>
        <v/>
      </c>
      <c r="U23" s="17" t="str">
        <f>IF('IS Risk Assessment'!AI$11&gt;0,'IS Risk Assessment'!AI$11,'IS Risk Assessment'!AI$9)</f>
        <v/>
      </c>
      <c r="W23" s="17" t="str">
        <f t="shared" si="0"/>
        <v/>
      </c>
      <c r="X23" s="87"/>
      <c r="Y23" s="17"/>
      <c r="AA23" s="37"/>
      <c r="AB23" s="38"/>
      <c r="AC23" s="39"/>
      <c r="AD23" s="38"/>
      <c r="AE23" s="17" t="str">
        <f t="shared" si="1"/>
        <v>Low</v>
      </c>
      <c r="AF23" s="38"/>
      <c r="AG23" s="38"/>
      <c r="AH23" s="38"/>
      <c r="AI23" s="40"/>
      <c r="AJ23" s="41"/>
      <c r="AK23" s="37"/>
      <c r="AL23" s="39"/>
      <c r="AM23" s="39"/>
      <c r="AN23" s="39"/>
      <c r="AO23" s="39"/>
      <c r="AP23" s="39"/>
      <c r="AQ23" s="39"/>
      <c r="AR23" s="39"/>
      <c r="AS23" s="39"/>
      <c r="AT23" s="39"/>
      <c r="AU23" s="39"/>
      <c r="AV23" s="138"/>
      <c r="AX23" s="105"/>
      <c r="AY23" s="106"/>
      <c r="AZ23" s="106"/>
    </row>
    <row r="24" spans="2:52" hidden="1" thickBot="1">
      <c r="B24" s="143"/>
      <c r="C24" s="145"/>
      <c r="D24" s="36"/>
      <c r="E24" s="115"/>
      <c r="F24" s="116"/>
      <c r="G24" s="116"/>
      <c r="H24" s="117"/>
      <c r="I24" s="115"/>
      <c r="J24" s="116"/>
      <c r="K24" s="115"/>
      <c r="L24" s="118"/>
      <c r="M24" s="116"/>
      <c r="N24" s="119"/>
      <c r="O24" s="117"/>
      <c r="P24" s="76"/>
      <c r="Q24" s="18" t="str">
        <f>IF('Internal People &amp; Staff'!U$13&gt;0,'Internal People &amp; Staff'!U$13,'Internal People &amp; Staff'!U$11)</f>
        <v/>
      </c>
      <c r="R24" s="18" t="str">
        <f>IF(Processes!U$12&gt;0,Processes!U$12,Processes!U$10)</f>
        <v/>
      </c>
      <c r="S24" s="18" t="str">
        <f>IF('Internal Systems'!U$12&gt;0,'Internal Systems'!U$12,'Internal Systems'!U$10)</f>
        <v/>
      </c>
      <c r="T24" s="18" t="str">
        <f>IF(External!U$13&gt;0,External!U$13,External!U$11)</f>
        <v/>
      </c>
      <c r="U24" s="17" t="str">
        <f>IF('IS Risk Assessment'!AK$11&gt;0,'IS Risk Assessment'!AK$11,'IS Risk Assessment'!AK$9)</f>
        <v/>
      </c>
      <c r="W24" s="17" t="str">
        <f t="shared" si="0"/>
        <v/>
      </c>
      <c r="X24" s="87"/>
      <c r="Y24" s="17"/>
      <c r="AA24" s="37"/>
      <c r="AB24" s="38"/>
      <c r="AC24" s="39"/>
      <c r="AD24" s="38"/>
      <c r="AE24" s="17" t="str">
        <f t="shared" si="1"/>
        <v>Low</v>
      </c>
      <c r="AF24" s="38"/>
      <c r="AG24" s="38"/>
      <c r="AH24" s="38"/>
      <c r="AI24" s="40"/>
      <c r="AJ24" s="41"/>
      <c r="AK24" s="37"/>
      <c r="AL24" s="39"/>
      <c r="AM24" s="39"/>
      <c r="AN24" s="39"/>
      <c r="AO24" s="39"/>
      <c r="AP24" s="39"/>
      <c r="AQ24" s="39"/>
      <c r="AR24" s="39"/>
      <c r="AS24" s="39"/>
      <c r="AT24" s="39"/>
      <c r="AU24" s="39"/>
      <c r="AV24" s="138"/>
      <c r="AX24" s="105"/>
      <c r="AY24" s="106"/>
      <c r="AZ24" s="106"/>
    </row>
    <row r="25" spans="2:52" hidden="1" thickBot="1">
      <c r="B25" s="143"/>
      <c r="C25" s="145"/>
      <c r="D25" s="36"/>
      <c r="E25" s="115"/>
      <c r="F25" s="116"/>
      <c r="G25" s="116"/>
      <c r="H25" s="117"/>
      <c r="I25" s="115"/>
      <c r="J25" s="116"/>
      <c r="K25" s="115"/>
      <c r="L25" s="118"/>
      <c r="M25" s="116"/>
      <c r="N25" s="119"/>
      <c r="O25" s="117"/>
      <c r="P25" s="76"/>
      <c r="Q25" s="18" t="str">
        <f>IF('Internal People &amp; Staff'!V$13&gt;0,'Internal People &amp; Staff'!V$13,'Internal People &amp; Staff'!V$11)</f>
        <v/>
      </c>
      <c r="R25" s="18" t="str">
        <f>IF(Processes!V$12&gt;0,Processes!V$12,Processes!V$10)</f>
        <v/>
      </c>
      <c r="S25" s="18" t="str">
        <f>IF('Internal Systems'!V$12&gt;0,'Internal Systems'!V$12,'Internal Systems'!V$10)</f>
        <v/>
      </c>
      <c r="T25" s="18" t="str">
        <f>IF(External!V$13&gt;0,External!V$13,External!V$11)</f>
        <v/>
      </c>
      <c r="U25" s="17" t="str">
        <f>IF('IS Risk Assessment'!AM$11&gt;0,'IS Risk Assessment'!AM$11,'IS Risk Assessment'!AM$9)</f>
        <v/>
      </c>
      <c r="W25" s="17" t="str">
        <f t="shared" si="0"/>
        <v/>
      </c>
      <c r="X25" s="87"/>
      <c r="Y25" s="17"/>
      <c r="AA25" s="37"/>
      <c r="AB25" s="38"/>
      <c r="AC25" s="39"/>
      <c r="AD25" s="38"/>
      <c r="AE25" s="17" t="str">
        <f t="shared" si="1"/>
        <v>Low</v>
      </c>
      <c r="AF25" s="38"/>
      <c r="AG25" s="38"/>
      <c r="AH25" s="38"/>
      <c r="AI25" s="40"/>
      <c r="AJ25" s="41"/>
      <c r="AK25" s="37"/>
      <c r="AL25" s="39"/>
      <c r="AM25" s="39"/>
      <c r="AN25" s="39"/>
      <c r="AO25" s="39"/>
      <c r="AP25" s="39"/>
      <c r="AQ25" s="39"/>
      <c r="AR25" s="39"/>
      <c r="AS25" s="39"/>
      <c r="AT25" s="39"/>
      <c r="AU25" s="39"/>
      <c r="AV25" s="138"/>
      <c r="AX25" s="105"/>
      <c r="AY25" s="106"/>
      <c r="AZ25" s="106"/>
    </row>
    <row r="26" spans="2:52" hidden="1" thickBot="1">
      <c r="B26" s="143"/>
      <c r="C26" s="145"/>
      <c r="D26" s="36"/>
      <c r="E26" s="115"/>
      <c r="F26" s="116"/>
      <c r="G26" s="116"/>
      <c r="H26" s="117"/>
      <c r="I26" s="115"/>
      <c r="J26" s="116"/>
      <c r="K26" s="115"/>
      <c r="L26" s="118"/>
      <c r="M26" s="116"/>
      <c r="N26" s="119"/>
      <c r="O26" s="117"/>
      <c r="P26" s="76"/>
      <c r="Q26" s="18" t="str">
        <f>IF('Internal People &amp; Staff'!W$13&gt;0,'Internal People &amp; Staff'!W$13,'Internal People &amp; Staff'!W$11)</f>
        <v/>
      </c>
      <c r="R26" s="18" t="str">
        <f>IF(Processes!W$12&gt;0,Processes!W$12,Processes!W$10)</f>
        <v/>
      </c>
      <c r="S26" s="18" t="str">
        <f>IF('Internal Systems'!W$12&gt;0,'Internal Systems'!W$12,'Internal Systems'!W$10)</f>
        <v/>
      </c>
      <c r="T26" s="18" t="str">
        <f>IF(External!W$13&gt;0,External!W$13,External!W$11)</f>
        <v/>
      </c>
      <c r="U26" s="17" t="str">
        <f>IF('IS Risk Assessment'!AO$11&gt;0,'IS Risk Assessment'!AO$11,'IS Risk Assessment'!AO$9)</f>
        <v/>
      </c>
      <c r="W26" s="17" t="str">
        <f t="shared" si="0"/>
        <v/>
      </c>
      <c r="X26" s="87"/>
      <c r="Y26" s="17"/>
      <c r="AA26" s="37"/>
      <c r="AB26" s="38"/>
      <c r="AC26" s="39"/>
      <c r="AD26" s="38"/>
      <c r="AE26" s="17" t="str">
        <f t="shared" si="1"/>
        <v>Low</v>
      </c>
      <c r="AF26" s="38"/>
      <c r="AG26" s="38"/>
      <c r="AH26" s="38"/>
      <c r="AI26" s="40"/>
      <c r="AJ26" s="41"/>
      <c r="AK26" s="37"/>
      <c r="AL26" s="39"/>
      <c r="AM26" s="39"/>
      <c r="AN26" s="39"/>
      <c r="AO26" s="39"/>
      <c r="AP26" s="39"/>
      <c r="AQ26" s="39"/>
      <c r="AR26" s="39"/>
      <c r="AS26" s="39"/>
      <c r="AT26" s="39"/>
      <c r="AU26" s="39"/>
      <c r="AV26" s="138"/>
      <c r="AX26" s="105"/>
      <c r="AY26" s="106"/>
      <c r="AZ26" s="106"/>
    </row>
    <row r="27" spans="2:52" hidden="1" thickBot="1">
      <c r="B27" s="143"/>
      <c r="C27" s="145"/>
      <c r="D27" s="36"/>
      <c r="E27" s="115"/>
      <c r="F27" s="116"/>
      <c r="G27" s="116"/>
      <c r="H27" s="117"/>
      <c r="I27" s="115"/>
      <c r="J27" s="116"/>
      <c r="K27" s="115"/>
      <c r="L27" s="118"/>
      <c r="M27" s="116"/>
      <c r="N27" s="119"/>
      <c r="O27" s="117"/>
      <c r="P27" s="76"/>
      <c r="Q27" s="18" t="str">
        <f>IF('Internal People &amp; Staff'!X$13&gt;0,'Internal People &amp; Staff'!X$13,'Internal People &amp; Staff'!X$11)</f>
        <v/>
      </c>
      <c r="R27" s="18" t="str">
        <f>IF(Processes!X$12&gt;0,Processes!X$12,Processes!X$10)</f>
        <v/>
      </c>
      <c r="S27" s="18" t="str">
        <f>IF('Internal Systems'!X$12&gt;0,'Internal Systems'!X$12,'Internal Systems'!X$10)</f>
        <v/>
      </c>
      <c r="T27" s="18" t="str">
        <f>IF(External!X$13&gt;0,External!X$13,External!X$11)</f>
        <v/>
      </c>
      <c r="U27" s="17" t="str">
        <f>IF('IS Risk Assessment'!AQ$11&gt;0,'IS Risk Assessment'!AQ$11,'IS Risk Assessment'!AQ$9)</f>
        <v/>
      </c>
      <c r="W27" s="17" t="str">
        <f t="shared" si="0"/>
        <v/>
      </c>
      <c r="X27" s="87"/>
      <c r="Y27" s="17"/>
      <c r="AA27" s="37"/>
      <c r="AB27" s="38"/>
      <c r="AC27" s="39"/>
      <c r="AD27" s="38"/>
      <c r="AE27" s="17" t="str">
        <f t="shared" si="1"/>
        <v>Low</v>
      </c>
      <c r="AF27" s="38"/>
      <c r="AG27" s="38"/>
      <c r="AH27" s="38"/>
      <c r="AI27" s="40"/>
      <c r="AJ27" s="41"/>
      <c r="AK27" s="37"/>
      <c r="AL27" s="39"/>
      <c r="AM27" s="39"/>
      <c r="AN27" s="39"/>
      <c r="AO27" s="39"/>
      <c r="AP27" s="39"/>
      <c r="AQ27" s="39"/>
      <c r="AR27" s="39"/>
      <c r="AS27" s="39"/>
      <c r="AT27" s="39"/>
      <c r="AU27" s="39"/>
      <c r="AV27" s="138"/>
      <c r="AX27" s="105"/>
      <c r="AY27" s="106"/>
      <c r="AZ27" s="106"/>
    </row>
    <row r="28" spans="2:52" hidden="1" thickBot="1">
      <c r="B28" s="143"/>
      <c r="C28" s="145"/>
      <c r="D28" s="36"/>
      <c r="E28" s="115"/>
      <c r="F28" s="116"/>
      <c r="G28" s="116"/>
      <c r="H28" s="117"/>
      <c r="I28" s="115"/>
      <c r="J28" s="116"/>
      <c r="K28" s="115"/>
      <c r="L28" s="118"/>
      <c r="M28" s="116"/>
      <c r="N28" s="119"/>
      <c r="O28" s="117"/>
      <c r="P28" s="76"/>
      <c r="Q28" s="18" t="str">
        <f>IF('Internal People &amp; Staff'!Y$13&gt;0,'Internal People &amp; Staff'!Y$13,'Internal People &amp; Staff'!Y$11)</f>
        <v/>
      </c>
      <c r="R28" s="18" t="str">
        <f>IF(Processes!Y$12&gt;0,Processes!Y$12,Processes!Y$10)</f>
        <v/>
      </c>
      <c r="S28" s="18" t="str">
        <f>IF('Internal Systems'!Y$12&gt;0,'Internal Systems'!Y$12,'Internal Systems'!Y$10)</f>
        <v/>
      </c>
      <c r="T28" s="18" t="str">
        <f>IF(External!Y$13&gt;0,External!Y$13,External!Y$11)</f>
        <v/>
      </c>
      <c r="U28" s="17" t="str">
        <f>IF('IS Risk Assessment'!AS$11&gt;0,'IS Risk Assessment'!AS$11,'IS Risk Assessment'!AS$9)</f>
        <v/>
      </c>
      <c r="W28" s="17" t="str">
        <f t="shared" si="0"/>
        <v/>
      </c>
      <c r="X28" s="87"/>
      <c r="Y28" s="17"/>
      <c r="AA28" s="37"/>
      <c r="AB28" s="38"/>
      <c r="AC28" s="39"/>
      <c r="AD28" s="38"/>
      <c r="AE28" s="17" t="str">
        <f t="shared" si="1"/>
        <v>Low</v>
      </c>
      <c r="AF28" s="38"/>
      <c r="AG28" s="38"/>
      <c r="AH28" s="38"/>
      <c r="AI28" s="40"/>
      <c r="AJ28" s="41"/>
      <c r="AK28" s="37"/>
      <c r="AL28" s="39"/>
      <c r="AM28" s="39"/>
      <c r="AN28" s="39"/>
      <c r="AO28" s="39"/>
      <c r="AP28" s="39"/>
      <c r="AQ28" s="39"/>
      <c r="AR28" s="39"/>
      <c r="AS28" s="39"/>
      <c r="AT28" s="39"/>
      <c r="AU28" s="39"/>
      <c r="AV28" s="138"/>
      <c r="AX28" s="105"/>
      <c r="AY28" s="106"/>
      <c r="AZ28" s="106"/>
    </row>
    <row r="29" spans="2:52" hidden="1" thickBot="1">
      <c r="B29" s="143"/>
      <c r="C29" s="145"/>
      <c r="D29" s="36"/>
      <c r="E29" s="115"/>
      <c r="F29" s="116"/>
      <c r="G29" s="116"/>
      <c r="H29" s="117"/>
      <c r="I29" s="115"/>
      <c r="J29" s="116"/>
      <c r="K29" s="115"/>
      <c r="L29" s="118"/>
      <c r="M29" s="116"/>
      <c r="N29" s="119"/>
      <c r="O29" s="117"/>
      <c r="P29" s="76"/>
      <c r="Q29" s="18" t="str">
        <f>IF('Internal People &amp; Staff'!Z$13&gt;0,'Internal People &amp; Staff'!Z$13,'Internal People &amp; Staff'!Z$11)</f>
        <v/>
      </c>
      <c r="R29" s="18" t="str">
        <f>IF(Processes!Z$12&gt;0,Processes!Z$12,Processes!Z$10)</f>
        <v/>
      </c>
      <c r="S29" s="18" t="str">
        <f>IF('Internal Systems'!Z$12&gt;0,'Internal Systems'!Z$12,'Internal Systems'!Z$10)</f>
        <v/>
      </c>
      <c r="T29" s="18" t="str">
        <f>IF(External!Z$13&gt;0,External!Z$13,External!Z$11)</f>
        <v/>
      </c>
      <c r="U29" s="17" t="str">
        <f>IF('IS Risk Assessment'!AU$11&gt;0,'IS Risk Assessment'!AU$11,'IS Risk Assessment'!AU$9)</f>
        <v/>
      </c>
      <c r="W29" s="17" t="str">
        <f t="shared" si="0"/>
        <v/>
      </c>
      <c r="X29" s="87"/>
      <c r="Y29" s="17"/>
      <c r="AA29" s="37"/>
      <c r="AB29" s="38"/>
      <c r="AC29" s="39"/>
      <c r="AD29" s="38"/>
      <c r="AE29" s="17" t="str">
        <f t="shared" si="1"/>
        <v>Low</v>
      </c>
      <c r="AF29" s="38"/>
      <c r="AG29" s="38"/>
      <c r="AH29" s="38"/>
      <c r="AI29" s="40"/>
      <c r="AJ29" s="41"/>
      <c r="AK29" s="37"/>
      <c r="AL29" s="39"/>
      <c r="AM29" s="39"/>
      <c r="AN29" s="39"/>
      <c r="AO29" s="39"/>
      <c r="AP29" s="39"/>
      <c r="AQ29" s="39"/>
      <c r="AR29" s="39"/>
      <c r="AS29" s="39"/>
      <c r="AT29" s="39"/>
      <c r="AU29" s="39"/>
      <c r="AV29" s="138"/>
      <c r="AX29" s="105"/>
      <c r="AY29" s="106"/>
      <c r="AZ29" s="106"/>
    </row>
    <row r="30" spans="2:52" hidden="1" thickBot="1">
      <c r="B30" s="143"/>
      <c r="C30" s="145"/>
      <c r="D30" s="36"/>
      <c r="E30" s="115"/>
      <c r="F30" s="116"/>
      <c r="G30" s="116"/>
      <c r="H30" s="117"/>
      <c r="I30" s="115"/>
      <c r="J30" s="116"/>
      <c r="K30" s="115"/>
      <c r="L30" s="118"/>
      <c r="M30" s="116"/>
      <c r="N30" s="119"/>
      <c r="O30" s="117"/>
      <c r="P30" s="76"/>
      <c r="Q30" s="18" t="str">
        <f>IF('Internal People &amp; Staff'!AA$13&gt;0,'Internal People &amp; Staff'!AA$13,'Internal People &amp; Staff'!AA$11)</f>
        <v/>
      </c>
      <c r="R30" s="18" t="str">
        <f>IF(Processes!AA$12&gt;0,Processes!AA$12,Processes!AA$10)</f>
        <v/>
      </c>
      <c r="S30" s="18" t="str">
        <f>IF('Internal Systems'!AA$12&gt;0,'Internal Systems'!AA$12,'Internal Systems'!AA$10)</f>
        <v/>
      </c>
      <c r="T30" s="18" t="str">
        <f>IF(External!AA$13&gt;0,External!AA$13,External!AA$11)</f>
        <v/>
      </c>
      <c r="U30" s="17" t="str">
        <f>IF('IS Risk Assessment'!AW$11&gt;0,'IS Risk Assessment'!AW$11,'IS Risk Assessment'!AW$9)</f>
        <v/>
      </c>
      <c r="W30" s="17" t="str">
        <f t="shared" si="0"/>
        <v/>
      </c>
      <c r="X30" s="87"/>
      <c r="Y30" s="17"/>
      <c r="AA30" s="37"/>
      <c r="AB30" s="38"/>
      <c r="AC30" s="39"/>
      <c r="AD30" s="38"/>
      <c r="AE30" s="17" t="str">
        <f t="shared" si="1"/>
        <v>Low</v>
      </c>
      <c r="AF30" s="38"/>
      <c r="AG30" s="38"/>
      <c r="AH30" s="38"/>
      <c r="AI30" s="40"/>
      <c r="AJ30" s="41"/>
      <c r="AK30" s="37"/>
      <c r="AL30" s="39"/>
      <c r="AM30" s="39"/>
      <c r="AN30" s="39"/>
      <c r="AO30" s="39"/>
      <c r="AP30" s="39"/>
      <c r="AQ30" s="39"/>
      <c r="AR30" s="39"/>
      <c r="AS30" s="39"/>
      <c r="AT30" s="39"/>
      <c r="AU30" s="39"/>
      <c r="AV30" s="138"/>
      <c r="AX30" s="105"/>
      <c r="AY30" s="106"/>
      <c r="AZ30" s="106"/>
    </row>
    <row r="31" spans="2:52" hidden="1" thickBot="1">
      <c r="B31" s="143"/>
      <c r="C31" s="145"/>
      <c r="D31" s="36"/>
      <c r="E31" s="115"/>
      <c r="F31" s="116"/>
      <c r="G31" s="116"/>
      <c r="H31" s="117"/>
      <c r="I31" s="115"/>
      <c r="J31" s="116"/>
      <c r="K31" s="115"/>
      <c r="L31" s="118"/>
      <c r="M31" s="116"/>
      <c r="N31" s="119"/>
      <c r="O31" s="117"/>
      <c r="P31" s="76"/>
      <c r="Q31" s="18" t="str">
        <f>IF('Internal People &amp; Staff'!AB$13&gt;0,'Internal People &amp; Staff'!AB$13,'Internal People &amp; Staff'!AB$11)</f>
        <v/>
      </c>
      <c r="R31" s="18" t="str">
        <f>IF(Processes!AB$12&gt;0,Processes!AB$12,Processes!AB$10)</f>
        <v/>
      </c>
      <c r="S31" s="18" t="str">
        <f>IF('Internal Systems'!AB$12&gt;0,'Internal Systems'!AB$12,'Internal Systems'!AB$10)</f>
        <v/>
      </c>
      <c r="T31" s="18" t="str">
        <f>IF(External!AB$13&gt;0,External!AB$13,External!AB$11)</f>
        <v/>
      </c>
      <c r="U31" s="17" t="str">
        <f>IF('IS Risk Assessment'!AY$11&gt;0,'IS Risk Assessment'!AY$11,'IS Risk Assessment'!AY$9)</f>
        <v/>
      </c>
      <c r="W31" s="17" t="str">
        <f t="shared" si="0"/>
        <v/>
      </c>
      <c r="X31" s="87"/>
      <c r="Y31" s="17"/>
      <c r="AA31" s="37"/>
      <c r="AB31" s="38"/>
      <c r="AC31" s="39"/>
      <c r="AD31" s="38"/>
      <c r="AE31" s="17" t="str">
        <f t="shared" si="1"/>
        <v>Low</v>
      </c>
      <c r="AF31" s="38"/>
      <c r="AG31" s="38"/>
      <c r="AH31" s="38"/>
      <c r="AI31" s="40"/>
      <c r="AJ31" s="41"/>
      <c r="AK31" s="37"/>
      <c r="AL31" s="39"/>
      <c r="AM31" s="39"/>
      <c r="AN31" s="39"/>
      <c r="AO31" s="39"/>
      <c r="AP31" s="39"/>
      <c r="AQ31" s="39"/>
      <c r="AR31" s="39"/>
      <c r="AS31" s="39"/>
      <c r="AT31" s="39"/>
      <c r="AU31" s="39"/>
      <c r="AV31" s="138"/>
      <c r="AX31" s="105"/>
      <c r="AY31" s="106"/>
      <c r="AZ31" s="106"/>
    </row>
    <row r="32" spans="2:52" hidden="1" thickBot="1">
      <c r="B32" s="143"/>
      <c r="C32" s="145"/>
      <c r="D32" s="36"/>
      <c r="E32" s="115"/>
      <c r="F32" s="116"/>
      <c r="G32" s="116"/>
      <c r="H32" s="117"/>
      <c r="I32" s="115"/>
      <c r="J32" s="116"/>
      <c r="K32" s="115"/>
      <c r="L32" s="118"/>
      <c r="M32" s="116"/>
      <c r="N32" s="119"/>
      <c r="O32" s="117"/>
      <c r="P32" s="76"/>
      <c r="Q32" s="18" t="str">
        <f>IF('Internal People &amp; Staff'!AC$13&gt;0,'Internal People &amp; Staff'!AC$13,'Internal People &amp; Staff'!AC$11)</f>
        <v/>
      </c>
      <c r="R32" s="18" t="str">
        <f>IF(Processes!AC$12&gt;0,Processes!AC$12,Processes!AC$10)</f>
        <v/>
      </c>
      <c r="S32" s="18" t="str">
        <f>IF('Internal Systems'!AC$12&gt;0,'Internal Systems'!AC$12,'Internal Systems'!AC$10)</f>
        <v/>
      </c>
      <c r="T32" s="18" t="str">
        <f>IF(External!AC$13&gt;0,External!AC$13,External!AC$11)</f>
        <v/>
      </c>
      <c r="U32" s="17" t="str">
        <f>IF('IS Risk Assessment'!BA$11&gt;0,'IS Risk Assessment'!BA$11,'IS Risk Assessment'!BA$9)</f>
        <v/>
      </c>
      <c r="W32" s="17" t="str">
        <f t="shared" si="0"/>
        <v/>
      </c>
      <c r="X32" s="87"/>
      <c r="Y32" s="17"/>
      <c r="AA32" s="37"/>
      <c r="AB32" s="38"/>
      <c r="AC32" s="39"/>
      <c r="AD32" s="38"/>
      <c r="AE32" s="17" t="str">
        <f t="shared" si="1"/>
        <v>Low</v>
      </c>
      <c r="AF32" s="38"/>
      <c r="AG32" s="38"/>
      <c r="AH32" s="38"/>
      <c r="AI32" s="40"/>
      <c r="AJ32" s="41"/>
      <c r="AK32" s="37"/>
      <c r="AL32" s="39"/>
      <c r="AM32" s="39"/>
      <c r="AN32" s="39"/>
      <c r="AO32" s="39"/>
      <c r="AP32" s="39"/>
      <c r="AQ32" s="39"/>
      <c r="AR32" s="39"/>
      <c r="AS32" s="39"/>
      <c r="AT32" s="39"/>
      <c r="AU32" s="39"/>
      <c r="AV32" s="138"/>
      <c r="AX32" s="105"/>
      <c r="AY32" s="106"/>
      <c r="AZ32" s="106"/>
    </row>
    <row r="33" spans="2:52" hidden="1" thickBot="1">
      <c r="B33" s="143"/>
      <c r="C33" s="145"/>
      <c r="D33" s="36"/>
      <c r="E33" s="115"/>
      <c r="F33" s="116"/>
      <c r="G33" s="116"/>
      <c r="H33" s="117"/>
      <c r="I33" s="115"/>
      <c r="J33" s="116"/>
      <c r="K33" s="115"/>
      <c r="L33" s="118"/>
      <c r="M33" s="116"/>
      <c r="N33" s="119"/>
      <c r="O33" s="117"/>
      <c r="P33" s="76"/>
      <c r="Q33" s="18" t="str">
        <f>IF('Internal People &amp; Staff'!AD$13&gt;0,'Internal People &amp; Staff'!AD$13,'Internal People &amp; Staff'!AD$11)</f>
        <v/>
      </c>
      <c r="R33" s="18" t="str">
        <f>IF(Processes!AD$12&gt;0,Processes!AD$12,Processes!AD$10)</f>
        <v/>
      </c>
      <c r="S33" s="18" t="str">
        <f>IF('Internal Systems'!AD$12&gt;0,'Internal Systems'!AD$12,'Internal Systems'!AD$10)</f>
        <v/>
      </c>
      <c r="T33" s="18" t="str">
        <f>IF(External!AD$13&gt;0,External!AD$13,External!AD$11)</f>
        <v/>
      </c>
      <c r="U33" s="17" t="str">
        <f>IF('IS Risk Assessment'!BC$11&gt;0,'IS Risk Assessment'!BC$11,'IS Risk Assessment'!BC$9)</f>
        <v/>
      </c>
      <c r="W33" s="17" t="str">
        <f t="shared" si="0"/>
        <v/>
      </c>
      <c r="X33" s="87"/>
      <c r="Y33" s="17"/>
      <c r="AA33" s="37"/>
      <c r="AB33" s="38"/>
      <c r="AC33" s="39"/>
      <c r="AD33" s="38"/>
      <c r="AE33" s="17" t="str">
        <f t="shared" si="1"/>
        <v>Low</v>
      </c>
      <c r="AF33" s="38"/>
      <c r="AG33" s="38"/>
      <c r="AH33" s="38"/>
      <c r="AI33" s="40"/>
      <c r="AJ33" s="41"/>
      <c r="AK33" s="37"/>
      <c r="AL33" s="39"/>
      <c r="AM33" s="39"/>
      <c r="AN33" s="39"/>
      <c r="AO33" s="39"/>
      <c r="AP33" s="39"/>
      <c r="AQ33" s="39"/>
      <c r="AR33" s="39"/>
      <c r="AS33" s="39"/>
      <c r="AT33" s="39"/>
      <c r="AU33" s="39"/>
      <c r="AV33" s="138"/>
      <c r="AX33" s="105"/>
      <c r="AY33" s="106"/>
      <c r="AZ33" s="106"/>
    </row>
    <row r="34" spans="2:52" hidden="1" thickBot="1">
      <c r="B34" s="143"/>
      <c r="C34" s="145"/>
      <c r="D34" s="36"/>
      <c r="E34" s="115"/>
      <c r="F34" s="116"/>
      <c r="G34" s="116"/>
      <c r="H34" s="117"/>
      <c r="I34" s="115"/>
      <c r="J34" s="116"/>
      <c r="K34" s="115"/>
      <c r="L34" s="118"/>
      <c r="M34" s="116"/>
      <c r="N34" s="119"/>
      <c r="O34" s="117"/>
      <c r="P34" s="76"/>
      <c r="Q34" s="18" t="str">
        <f>IF('Internal People &amp; Staff'!AE$13&gt;0,'Internal People &amp; Staff'!AE$13,'Internal People &amp; Staff'!AE$11)</f>
        <v/>
      </c>
      <c r="R34" s="18" t="str">
        <f>IF(Processes!AE$12&gt;0,Processes!AE$12,Processes!AE$10)</f>
        <v/>
      </c>
      <c r="S34" s="18" t="str">
        <f>IF('Internal Systems'!AE$12&gt;0,'Internal Systems'!AE$12,'Internal Systems'!AE$10)</f>
        <v/>
      </c>
      <c r="T34" s="18" t="str">
        <f>IF(External!AE$13&gt;0,External!AE$13,External!AE$11)</f>
        <v/>
      </c>
      <c r="U34" s="17" t="str">
        <f>IF('IS Risk Assessment'!BE$11&gt;0,'IS Risk Assessment'!BE$11,'IS Risk Assessment'!BE$9)</f>
        <v/>
      </c>
      <c r="W34" s="17" t="str">
        <f t="shared" si="0"/>
        <v/>
      </c>
      <c r="X34" s="87"/>
      <c r="Y34" s="17"/>
      <c r="AA34" s="37"/>
      <c r="AB34" s="38"/>
      <c r="AC34" s="39"/>
      <c r="AD34" s="38"/>
      <c r="AE34" s="17" t="str">
        <f t="shared" si="1"/>
        <v>Low</v>
      </c>
      <c r="AF34" s="38"/>
      <c r="AG34" s="38"/>
      <c r="AH34" s="38"/>
      <c r="AI34" s="40"/>
      <c r="AJ34" s="41"/>
      <c r="AK34" s="37"/>
      <c r="AL34" s="39"/>
      <c r="AM34" s="39"/>
      <c r="AN34" s="39"/>
      <c r="AO34" s="39"/>
      <c r="AP34" s="39"/>
      <c r="AQ34" s="39"/>
      <c r="AR34" s="39"/>
      <c r="AS34" s="39"/>
      <c r="AT34" s="39"/>
      <c r="AU34" s="39"/>
      <c r="AV34" s="138"/>
      <c r="AX34" s="105"/>
      <c r="AY34" s="106"/>
      <c r="AZ34" s="106"/>
    </row>
    <row r="35" spans="2:52" hidden="1" thickBot="1">
      <c r="B35" s="143"/>
      <c r="C35" s="145"/>
      <c r="D35" s="36"/>
      <c r="E35" s="115"/>
      <c r="F35" s="116"/>
      <c r="G35" s="116"/>
      <c r="H35" s="117"/>
      <c r="I35" s="115"/>
      <c r="J35" s="116"/>
      <c r="K35" s="115"/>
      <c r="L35" s="118"/>
      <c r="M35" s="116"/>
      <c r="N35" s="119"/>
      <c r="O35" s="117"/>
      <c r="P35" s="76"/>
      <c r="Q35" s="18" t="str">
        <f>IF('Internal People &amp; Staff'!AF$13&gt;0,'Internal People &amp; Staff'!AF$13,'Internal People &amp; Staff'!AF$11)</f>
        <v/>
      </c>
      <c r="R35" s="18" t="str">
        <f>IF(Processes!AF$12&gt;0,Processes!AF$12,Processes!AF$10)</f>
        <v/>
      </c>
      <c r="S35" s="18" t="str">
        <f>IF('Internal Systems'!AF$12&gt;0,'Internal Systems'!AF$12,'Internal Systems'!AF$10)</f>
        <v/>
      </c>
      <c r="T35" s="18" t="str">
        <f>IF(External!AF$13&gt;0,External!AF$13,External!AF$11)</f>
        <v/>
      </c>
      <c r="U35" s="17" t="str">
        <f>IF('IS Risk Assessment'!BG$11&gt;0,'IS Risk Assessment'!BG$11,'IS Risk Assessment'!BG$9)</f>
        <v/>
      </c>
      <c r="W35" s="17" t="str">
        <f t="shared" si="0"/>
        <v/>
      </c>
      <c r="X35" s="87"/>
      <c r="Y35" s="17"/>
      <c r="AA35" s="37"/>
      <c r="AB35" s="38"/>
      <c r="AC35" s="39"/>
      <c r="AD35" s="38"/>
      <c r="AE35" s="17" t="str">
        <f t="shared" si="1"/>
        <v>Low</v>
      </c>
      <c r="AF35" s="38"/>
      <c r="AG35" s="38"/>
      <c r="AH35" s="38"/>
      <c r="AI35" s="40"/>
      <c r="AJ35" s="41"/>
      <c r="AK35" s="37"/>
      <c r="AL35" s="39"/>
      <c r="AM35" s="39"/>
      <c r="AN35" s="39"/>
      <c r="AO35" s="39"/>
      <c r="AP35" s="39"/>
      <c r="AQ35" s="39"/>
      <c r="AR35" s="39"/>
      <c r="AS35" s="39"/>
      <c r="AT35" s="39"/>
      <c r="AU35" s="39"/>
      <c r="AV35" s="138"/>
      <c r="AX35" s="105"/>
      <c r="AY35" s="106"/>
      <c r="AZ35" s="106"/>
    </row>
    <row r="36" spans="2:52" hidden="1" thickBot="1">
      <c r="B36" s="143"/>
      <c r="C36" s="145"/>
      <c r="D36" s="36"/>
      <c r="E36" s="115"/>
      <c r="F36" s="116"/>
      <c r="G36" s="116"/>
      <c r="H36" s="117"/>
      <c r="I36" s="115"/>
      <c r="J36" s="116"/>
      <c r="K36" s="115"/>
      <c r="L36" s="118"/>
      <c r="M36" s="116"/>
      <c r="N36" s="119"/>
      <c r="O36" s="117"/>
      <c r="P36" s="76"/>
      <c r="Q36" s="18" t="str">
        <f>IF('Internal People &amp; Staff'!AG$13&gt;0,'Internal People &amp; Staff'!AG$13,'Internal People &amp; Staff'!AG$11)</f>
        <v/>
      </c>
      <c r="R36" s="18" t="str">
        <f>IF(Processes!AG$12&gt;0,Processes!AG$12,Processes!AG$10)</f>
        <v/>
      </c>
      <c r="S36" s="18" t="str">
        <f>IF('Internal Systems'!AG$12&gt;0,'Internal Systems'!AG$12,'Internal Systems'!AG$10)</f>
        <v/>
      </c>
      <c r="T36" s="18" t="str">
        <f>IF(External!AG$13&gt;0,External!AG$13,External!AG$11)</f>
        <v/>
      </c>
      <c r="U36" s="17" t="str">
        <f>IF('IS Risk Assessment'!BI$11&gt;0,'IS Risk Assessment'!BI$11,'IS Risk Assessment'!BI$9)</f>
        <v/>
      </c>
      <c r="W36" s="17" t="str">
        <f t="shared" si="0"/>
        <v/>
      </c>
      <c r="X36" s="87"/>
      <c r="Y36" s="17"/>
      <c r="AA36" s="37"/>
      <c r="AB36" s="38"/>
      <c r="AC36" s="39"/>
      <c r="AD36" s="38"/>
      <c r="AE36" s="17" t="str">
        <f t="shared" si="1"/>
        <v>Low</v>
      </c>
      <c r="AF36" s="38"/>
      <c r="AG36" s="38"/>
      <c r="AH36" s="38"/>
      <c r="AI36" s="40"/>
      <c r="AJ36" s="41"/>
      <c r="AK36" s="37"/>
      <c r="AL36" s="39"/>
      <c r="AM36" s="39"/>
      <c r="AN36" s="39"/>
      <c r="AO36" s="39"/>
      <c r="AP36" s="39"/>
      <c r="AQ36" s="39"/>
      <c r="AR36" s="39"/>
      <c r="AS36" s="39"/>
      <c r="AT36" s="39"/>
      <c r="AU36" s="39"/>
      <c r="AV36" s="138"/>
    </row>
    <row r="37" spans="2:52" hidden="1" thickBot="1">
      <c r="B37" s="143"/>
      <c r="C37" s="145"/>
      <c r="D37" s="36"/>
      <c r="E37" s="120"/>
      <c r="F37" s="121"/>
      <c r="G37" s="121"/>
      <c r="H37" s="122"/>
      <c r="I37" s="120"/>
      <c r="J37" s="123"/>
      <c r="K37" s="120"/>
      <c r="L37" s="124"/>
      <c r="M37" s="125"/>
      <c r="N37" s="126"/>
      <c r="O37" s="122"/>
      <c r="P37" s="76"/>
      <c r="Q37" s="18" t="str">
        <f>IF('Internal People &amp; Staff'!AH$13&gt;0,'Internal People &amp; Staff'!AH$13,'Internal People &amp; Staff'!AH$11)</f>
        <v/>
      </c>
      <c r="R37" s="18" t="str">
        <f>IF(Processes!AH$12&gt;0,Processes!AH$12,Processes!AH$10)</f>
        <v/>
      </c>
      <c r="S37" s="18" t="str">
        <f>IF('Internal Systems'!AH$12&gt;0,'Internal Systems'!AH$12,'Internal Systems'!AH$10)</f>
        <v/>
      </c>
      <c r="T37" s="18" t="str">
        <f>IF(External!AH$13&gt;0,External!AH$13,External!AH$11)</f>
        <v/>
      </c>
      <c r="U37" s="17" t="str">
        <f>IF('IS Risk Assessment'!BK$11&gt;0,'IS Risk Assessment'!BK$11,'IS Risk Assessment'!BK$9)</f>
        <v/>
      </c>
      <c r="W37" s="17" t="str">
        <f t="shared" si="0"/>
        <v/>
      </c>
      <c r="X37" s="87"/>
      <c r="Y37" s="17"/>
      <c r="AA37" s="37"/>
      <c r="AB37" s="38"/>
      <c r="AC37" s="39"/>
      <c r="AD37" s="38"/>
      <c r="AE37" s="17" t="str">
        <f t="shared" si="1"/>
        <v>Low</v>
      </c>
      <c r="AF37" s="38"/>
      <c r="AG37" s="38"/>
      <c r="AH37" s="38"/>
      <c r="AI37" s="40"/>
      <c r="AJ37" s="41"/>
      <c r="AK37" s="37"/>
      <c r="AL37" s="39"/>
      <c r="AM37" s="39"/>
      <c r="AN37" s="39"/>
      <c r="AO37" s="39"/>
      <c r="AP37" s="39"/>
      <c r="AQ37" s="39"/>
      <c r="AR37" s="39"/>
      <c r="AS37" s="39"/>
      <c r="AT37" s="39"/>
      <c r="AU37" s="39"/>
      <c r="AV37" s="109"/>
    </row>
    <row r="38" spans="2:52" hidden="1" thickBot="1"/>
    <row r="39" spans="2:52" hidden="1" thickBot="1"/>
    <row r="40" spans="2:52" hidden="1" thickBot="1"/>
    <row r="41" spans="2:52" hidden="1" thickBot="1"/>
    <row r="42" spans="2:52" hidden="1" thickBot="1"/>
    <row r="43" spans="2:52" hidden="1" thickBot="1"/>
    <row r="44" spans="2:52" hidden="1" thickBot="1"/>
    <row r="45" spans="2:52" hidden="1" thickBot="1"/>
    <row r="46" spans="2:52" hidden="1" thickBot="1"/>
    <row r="47" spans="2:52" hidden="1" thickBot="1"/>
    <row r="48" spans="2:52" hidden="1" thickBot="1"/>
    <row r="49" hidden="1" thickBot="1"/>
    <row r="50" hidden="1" thickBot="1"/>
  </sheetData>
  <sheetProtection algorithmName="SHA-512" hashValue="iq85c9bCt4oN4ZrXgO4DlDZ/YDyHO/BGuovcqiH3PHVn6b0EUMCLys+ZNd6rxgCoV3Sv5J5RG08IwcbncH6UCQ==" saltValue="l84wVF1vGu8vdwvoY0I8zQ==" spinCount="100000" sheet="1" formatCells="0" formatColumns="0" formatRows="0" insertColumns="0" insertRows="0" insertHyperlinks="0" deleteRows="0"/>
  <protectedRanges>
    <protectedRange sqref="Y8:Y37" name="Range4"/>
    <protectedRange algorithmName="SHA-512" hashValue="aw3U3GIiQ9o/B3HewUdG8x4JLmRlOBNPiytHV8k5sa9c6E8wwck5xYaMMztBsJ6fiV+mqZeqFn4noGWER4bLBw==" saltValue="qj9y2Q5mQCWJ3pAoF+Yw9w==" spinCount="100000" sqref="AF5:AV37" name="Range2"/>
    <protectedRange algorithmName="SHA-512" hashValue="TR5oMIz8+Sm8e/PdmAnLzFOabawUkLHFiNdol1J79s4/y6+LDyUYrVwQy+K9nLInDV87+YxALU8chBBUFv07Eg==" saltValue="lU+9RAH7AP75CvDx2efwlw==" spinCount="100000" sqref="B3:AD37" name="Range1"/>
    <protectedRange sqref="B5:AD7" name="Range3"/>
    <protectedRange algorithmName="SHA-512" hashValue="aw3U3GIiQ9o/B3HewUdG8x4JLmRlOBNPiytHV8k5sa9c6E8wwck5xYaMMztBsJ6fiV+mqZeqFn4noGWER4bLBw==" saltValue="qj9y2Q5mQCWJ3pAoF+Yw9w==" spinCount="100000" sqref="AX8:AZ35" name="Range2_3"/>
    <protectedRange sqref="AK7:AV7" name="Range6"/>
  </protectedRanges>
  <mergeCells count="22">
    <mergeCell ref="AH6:AI6"/>
    <mergeCell ref="AF6:AG6"/>
    <mergeCell ref="Q5:U5"/>
    <mergeCell ref="W5:Y5"/>
    <mergeCell ref="W6:Y6"/>
    <mergeCell ref="Q6:U6"/>
    <mergeCell ref="AX5:AZ5"/>
    <mergeCell ref="AX6:AZ6"/>
    <mergeCell ref="AX4:AZ4"/>
    <mergeCell ref="B5:D5"/>
    <mergeCell ref="B8:B37"/>
    <mergeCell ref="C8:C37"/>
    <mergeCell ref="E5:O5"/>
    <mergeCell ref="E6:O6"/>
    <mergeCell ref="AK5:AU5"/>
    <mergeCell ref="AK6:AU6"/>
    <mergeCell ref="AH5:AI5"/>
    <mergeCell ref="AA5:AB5"/>
    <mergeCell ref="AC5:AD5"/>
    <mergeCell ref="AF5:AG5"/>
    <mergeCell ref="AC6:AD6"/>
    <mergeCell ref="AA6:AB6"/>
  </mergeCells>
  <phoneticPr fontId="14" type="noConversion"/>
  <hyperlinks>
    <hyperlink ref="AX4:AZ4" r:id="rId1" display="DA repository" xr:uid="{BB0253B1-656D-43AF-A4D2-ABE3400ED1C4}"/>
    <hyperlink ref="AK4" r:id="rId2" xr:uid="{A9A43273-C740-40C4-A433-48A5E06D7A72}"/>
  </hyperlinks>
  <pageMargins left="0.7" right="0.7" top="0.78740157499999996" bottom="0.78740157499999996" header="0.3" footer="0.3"/>
  <pageSetup paperSize="9" orientation="portrait" verticalDpi="1200" r:id="rId3"/>
  <headerFooter>
    <oddFooter>&amp;C&amp;1#&amp;"Calibri"&amp;10&amp;K000000Confidential</oddFooter>
  </headerFooter>
  <legacyDrawing r:id="rId4"/>
  <extLst>
    <ext xmlns:x14="http://schemas.microsoft.com/office/spreadsheetml/2009/9/main" uri="{CCE6A557-97BC-4b89-ADB6-D9C93CAAB3DF}">
      <x14:dataValidations xmlns:xm="http://schemas.microsoft.com/office/excel/2006/main" count="5">
        <x14:dataValidation type="list" allowBlank="1" showInputMessage="1" showErrorMessage="1" xr:uid="{F698672C-A4BE-4D7B-B05C-773575AC8228}">
          <x14:formula1>
            <xm:f>'Dropdown lists'!$E$2:$E$5</xm:f>
          </x14:formula1>
          <xm:sqref>B8</xm:sqref>
        </x14:dataValidation>
        <x14:dataValidation type="list" allowBlank="1" showInputMessage="1" showErrorMessage="1" xr:uid="{02854CC6-180C-4036-A2EF-FFF9BD7C6170}">
          <x14:formula1>
            <xm:f>'Dropdown lists'!$D$2:$D$4</xm:f>
          </x14:formula1>
          <xm:sqref>AA8:AA37</xm:sqref>
        </x14:dataValidation>
        <x14:dataValidation type="list" allowBlank="1" showInputMessage="1" showErrorMessage="1" xr:uid="{367DD11C-E500-484D-8409-9799863BE320}">
          <x14:formula1>
            <xm:f>'Dropdown lists'!$C$2:$C$3</xm:f>
          </x14:formula1>
          <xm:sqref>K8:O37 J8:J36 AK8:AU37 E8:I37</xm:sqref>
        </x14:dataValidation>
        <x14:dataValidation type="list" allowBlank="1" showInputMessage="1" showErrorMessage="1" xr:uid="{C0A46F0D-B290-4893-A10A-844BA587C3FA}">
          <x14:formula1>
            <xm:f>'Dropdown lists'!$H$2:$H$4</xm:f>
          </x14:formula1>
          <xm:sqref>AC8:AC37</xm:sqref>
        </x14:dataValidation>
        <x14:dataValidation type="list" allowBlank="1" showInputMessage="1" showErrorMessage="1" xr:uid="{F77D0544-1C7D-4E8C-B2EF-75E1088C3F23}">
          <x14:formula1>
            <xm:f>'Dropdown lists'!$J$2:$J$3</xm:f>
          </x14:formula1>
          <xm:sqref>AV8:AV37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D776E-1DF1-4B59-8603-A2E55481E949}">
  <sheetPr codeName="Sheet3">
    <tabColor theme="5" tint="0.79998168889431442"/>
  </sheetPr>
  <dimension ref="A1:AI16"/>
  <sheetViews>
    <sheetView showGridLines="0" topLeftCell="A8" zoomScale="70" zoomScaleNormal="70" workbookViewId="0">
      <pane xSplit="4" topLeftCell="E1" activePane="topRight" state="frozen"/>
      <selection pane="topRight" activeCell="J16" sqref="J16"/>
      <selection activeCell="B9" sqref="B9"/>
    </sheetView>
  </sheetViews>
  <sheetFormatPr defaultColWidth="10.7109375" defaultRowHeight="15"/>
  <cols>
    <col min="1" max="1" width="7.28515625" customWidth="1"/>
    <col min="2" max="2" width="19.5703125" customWidth="1"/>
    <col min="3" max="3" width="73.85546875" customWidth="1"/>
    <col min="4" max="4" width="45.140625" customWidth="1"/>
    <col min="5" max="5" width="28.28515625" customWidth="1"/>
    <col min="6" max="6" width="20.28515625" customWidth="1"/>
    <col min="7" max="7" width="22.28515625" customWidth="1"/>
    <col min="8" max="8" width="21.7109375" customWidth="1"/>
    <col min="9" max="9" width="21.140625" customWidth="1"/>
    <col min="10" max="10" width="24.85546875" customWidth="1"/>
    <col min="11" max="11" width="21.140625" customWidth="1"/>
    <col min="12" max="12" width="10.5703125" hidden="1" customWidth="1"/>
    <col min="13" max="13" width="10.7109375" hidden="1" customWidth="1"/>
    <col min="14" max="14" width="13.5703125" hidden="1" customWidth="1"/>
    <col min="15" max="15" width="13.140625" hidden="1" customWidth="1"/>
    <col min="16" max="34" width="10.7109375" hidden="1" customWidth="1"/>
    <col min="35" max="35" width="32.42578125" customWidth="1"/>
  </cols>
  <sheetData>
    <row r="1" spans="1:35" ht="19.5" thickBot="1">
      <c r="A1" s="10" t="s">
        <v>127</v>
      </c>
    </row>
    <row r="2" spans="1:35" ht="19.5" hidden="1" thickBot="1">
      <c r="A2" s="10"/>
      <c r="E2" s="23">
        <v>1</v>
      </c>
      <c r="F2" s="23">
        <f>E2+1</f>
        <v>2</v>
      </c>
      <c r="G2" s="23">
        <f t="shared" ref="G2:AH2" si="0">F2+1</f>
        <v>3</v>
      </c>
      <c r="H2" s="23">
        <f t="shared" si="0"/>
        <v>4</v>
      </c>
      <c r="I2" s="23">
        <f t="shared" si="0"/>
        <v>5</v>
      </c>
      <c r="J2" s="23">
        <f t="shared" si="0"/>
        <v>6</v>
      </c>
      <c r="K2" s="23">
        <f t="shared" si="0"/>
        <v>7</v>
      </c>
      <c r="L2" s="23">
        <f t="shared" si="0"/>
        <v>8</v>
      </c>
      <c r="M2" s="23">
        <f t="shared" si="0"/>
        <v>9</v>
      </c>
      <c r="N2" s="23">
        <f t="shared" si="0"/>
        <v>10</v>
      </c>
      <c r="O2" s="23">
        <f t="shared" si="0"/>
        <v>11</v>
      </c>
      <c r="P2" s="23">
        <f t="shared" si="0"/>
        <v>12</v>
      </c>
      <c r="Q2" s="23">
        <f t="shared" si="0"/>
        <v>13</v>
      </c>
      <c r="R2" s="23">
        <f t="shared" si="0"/>
        <v>14</v>
      </c>
      <c r="S2" s="23">
        <f t="shared" si="0"/>
        <v>15</v>
      </c>
      <c r="T2" s="23">
        <f t="shared" si="0"/>
        <v>16</v>
      </c>
      <c r="U2" s="23">
        <f t="shared" si="0"/>
        <v>17</v>
      </c>
      <c r="V2" s="23">
        <f t="shared" si="0"/>
        <v>18</v>
      </c>
      <c r="W2" s="23">
        <f t="shared" si="0"/>
        <v>19</v>
      </c>
      <c r="X2" s="23">
        <f t="shared" si="0"/>
        <v>20</v>
      </c>
      <c r="Y2" s="23">
        <f t="shared" si="0"/>
        <v>21</v>
      </c>
      <c r="Z2" s="23">
        <f t="shared" si="0"/>
        <v>22</v>
      </c>
      <c r="AA2" s="23">
        <f t="shared" si="0"/>
        <v>23</v>
      </c>
      <c r="AB2" s="23">
        <f t="shared" si="0"/>
        <v>24</v>
      </c>
      <c r="AC2" s="23">
        <f t="shared" si="0"/>
        <v>25</v>
      </c>
      <c r="AD2" s="23">
        <f t="shared" si="0"/>
        <v>26</v>
      </c>
      <c r="AE2" s="23">
        <f t="shared" si="0"/>
        <v>27</v>
      </c>
      <c r="AF2" s="23">
        <f t="shared" si="0"/>
        <v>28</v>
      </c>
      <c r="AG2" s="23">
        <f t="shared" si="0"/>
        <v>29</v>
      </c>
      <c r="AH2" s="23">
        <f t="shared" si="0"/>
        <v>30</v>
      </c>
    </row>
    <row r="3" spans="1:35" ht="54.6" customHeight="1" thickBot="1">
      <c r="A3" s="1"/>
      <c r="B3" s="10" t="s">
        <v>12</v>
      </c>
      <c r="C3" s="10" t="str">
        <f>'Audit conclusion'!$D$3</f>
        <v>2025-045 Cyber and Information Security</v>
      </c>
      <c r="D3" s="4" t="s">
        <v>128</v>
      </c>
      <c r="E3" s="85" t="str">
        <f ca="1">INDIRECT("'Audit conclusion'!D"&amp;(E2+ROW('Audit conclusion'!D8)-1))</f>
        <v xml:space="preserve">AU-109-02-Cyber &amp; IS Strategy and Design </v>
      </c>
      <c r="F3" s="85" t="str">
        <f ca="1">INDIRECT("'Audit conclusion'!D"&amp;(F2+ROW('Audit conclusion'!H8)-1))</f>
        <v>AU-109-08-ICT Incident Management</v>
      </c>
      <c r="G3" s="85" t="str">
        <f ca="1">INDIRECT("'Audit conclusion'!D"&amp;(G2+ROW('Audit conclusion'!I8)-1))</f>
        <v>AU-109-09-Cyber &amp; IS Prevention</v>
      </c>
      <c r="H3" s="85" t="str">
        <f ca="1">INDIRECT("'Audit conclusion'!D"&amp;(H2+ROW('Audit conclusion'!J8)-1))</f>
        <v>AU-109-10-Cyber &amp; IS Detection</v>
      </c>
      <c r="I3" s="85" t="str">
        <f ca="1">INDIRECT("'Audit conclusion'!D"&amp;(I2+ROW('Audit conclusion'!K8)-1))</f>
        <v>AU-109-11-Cyber &amp; IS Control functions (2LoD)</v>
      </c>
      <c r="J3" s="85" t="str">
        <f ca="1">INDIRECT("'Audit conclusion'!D"&amp;(J2+ROW('Audit conclusion'!L8)-1))</f>
        <v>AU-109-12-Threat Intelligence</v>
      </c>
      <c r="K3" s="85" t="str">
        <f ca="1">INDIRECT("'Audit conclusion'!D"&amp;(K2+ROW('Audit conclusion'!M8)-1))</f>
        <v>AU-121-04-CSDR Cyber &amp; IS</v>
      </c>
      <c r="L3" s="85">
        <f ca="1">INDIRECT("'Audit conclusion'!D"&amp;(L2+ROW('Audit conclusion'!Y8)-1))</f>
        <v>0</v>
      </c>
      <c r="M3" s="85">
        <f ca="1">INDIRECT("'Audit conclusion'!D"&amp;(M2+ROW('Audit conclusion'!AB8)-1))</f>
        <v>0</v>
      </c>
      <c r="N3" s="85">
        <f ca="1">INDIRECT("'Audit conclusion'!D"&amp;(N2+ROW('Audit conclusion'!AD8)-1))</f>
        <v>0</v>
      </c>
      <c r="O3" s="85">
        <f ca="1">INDIRECT("'Audit conclusion'!D"&amp;(O2+ROW('Audit conclusion'!AG8)-1))</f>
        <v>0</v>
      </c>
      <c r="P3" s="85">
        <f ca="1">INDIRECT("'Audit conclusion'!D"&amp;(P2+ROW('Audit conclusion'!AI8)-1))</f>
        <v>0</v>
      </c>
      <c r="Q3" s="85">
        <f ca="1">INDIRECT("'Audit conclusion'!D"&amp;(Q2+ROW('Audit conclusion'!AK8)-1))</f>
        <v>0</v>
      </c>
      <c r="R3" s="85">
        <f ca="1">INDIRECT("'Audit conclusion'!D"&amp;(R2+ROW('Audit conclusion'!AM8)-1))</f>
        <v>0</v>
      </c>
      <c r="S3" s="85">
        <f ca="1">INDIRECT("'Audit conclusion'!D"&amp;(S2+ROW('Audit conclusion'!AU8)-1))</f>
        <v>0</v>
      </c>
      <c r="T3" s="85">
        <f ca="1">INDIRECT("'Audit conclusion'!D"&amp;(T2+ROW('Audit conclusion'!AX8)-1))</f>
        <v>0</v>
      </c>
      <c r="U3" s="85">
        <f ca="1">INDIRECT("'Audit conclusion'!D"&amp;(U2+ROW('Audit conclusion'!AZ8)-1))</f>
        <v>0</v>
      </c>
      <c r="V3" s="85">
        <f ca="1">INDIRECT("'Audit conclusion'!D"&amp;(V2+ROW('Audit conclusion'!BB8)-1))</f>
        <v>0</v>
      </c>
      <c r="W3" s="85">
        <f ca="1">INDIRECT("'Audit conclusion'!D"&amp;(W2+ROW('Audit conclusion'!BD8)-1))</f>
        <v>0</v>
      </c>
      <c r="X3" s="85">
        <f ca="1">INDIRECT("'Audit conclusion'!D"&amp;(X2+ROW('Audit conclusion'!BF8)-1))</f>
        <v>0</v>
      </c>
      <c r="Y3" s="85">
        <f ca="1">INDIRECT("'Audit conclusion'!D"&amp;(Y2+ROW('Audit conclusion'!BH8)-1))</f>
        <v>0</v>
      </c>
      <c r="Z3" s="85">
        <f ca="1">INDIRECT("'Audit conclusion'!D"&amp;(Z2+ROW('Audit conclusion'!BJ8)-1))</f>
        <v>0</v>
      </c>
      <c r="AA3" s="85">
        <f ca="1">INDIRECT("'Audit conclusion'!D"&amp;(AA2+ROW('Audit conclusion'!BL8)-1))</f>
        <v>0</v>
      </c>
      <c r="AB3" s="85">
        <f ca="1">INDIRECT("'Audit conclusion'!D"&amp;(AB2+ROW('Audit conclusion'!BN8)-1))</f>
        <v>0</v>
      </c>
      <c r="AC3" s="85">
        <f ca="1">INDIRECT("'Audit conclusion'!D"&amp;(AC2+ROW('Audit conclusion'!BP8)-1))</f>
        <v>0</v>
      </c>
      <c r="AD3" s="85">
        <f ca="1">INDIRECT("'Audit conclusion'!D"&amp;(AD2+ROW('Audit conclusion'!BR8)-1))</f>
        <v>0</v>
      </c>
      <c r="AE3" s="85">
        <f ca="1">INDIRECT("'Audit conclusion'!D"&amp;(AE2+ROW('Audit conclusion'!BT8)-1))</f>
        <v>0</v>
      </c>
      <c r="AF3" s="85">
        <f ca="1">INDIRECT("'Audit conclusion'!D"&amp;(AF2+ROW('Audit conclusion'!BV8)-1))</f>
        <v>0</v>
      </c>
      <c r="AG3" s="85">
        <f ca="1">INDIRECT("'Audit conclusion'!D"&amp;(AG2+ROW('Audit conclusion'!BX8)-1))</f>
        <v>0</v>
      </c>
      <c r="AH3" s="85">
        <f ca="1">INDIRECT("'Audit conclusion'!D"&amp;(AH2+ROW('Audit conclusion'!BZ8)-1))</f>
        <v>0</v>
      </c>
    </row>
    <row r="4" spans="1:35" s="90" customFormat="1" ht="33" customHeight="1" thickTop="1" thickBot="1">
      <c r="A4" s="157" t="s">
        <v>129</v>
      </c>
      <c r="B4" s="158"/>
      <c r="C4" s="88"/>
      <c r="D4" s="88"/>
      <c r="E4" s="89" t="s">
        <v>130</v>
      </c>
      <c r="F4" s="89" t="s">
        <v>130</v>
      </c>
      <c r="G4" s="89" t="s">
        <v>130</v>
      </c>
      <c r="H4" s="89" t="s">
        <v>130</v>
      </c>
      <c r="I4" s="89" t="s">
        <v>130</v>
      </c>
      <c r="J4" s="89" t="s">
        <v>130</v>
      </c>
      <c r="K4" s="89" t="s">
        <v>130</v>
      </c>
      <c r="L4" s="89" t="s">
        <v>130</v>
      </c>
      <c r="M4" s="89" t="s">
        <v>130</v>
      </c>
      <c r="N4" s="89" t="s">
        <v>130</v>
      </c>
      <c r="O4" s="89" t="s">
        <v>130</v>
      </c>
      <c r="P4" s="89" t="s">
        <v>130</v>
      </c>
      <c r="Q4" s="89" t="s">
        <v>130</v>
      </c>
      <c r="R4" s="89" t="s">
        <v>130</v>
      </c>
      <c r="S4" s="89" t="s">
        <v>130</v>
      </c>
      <c r="T4" s="89" t="s">
        <v>130</v>
      </c>
      <c r="U4" s="89" t="s">
        <v>130</v>
      </c>
      <c r="V4" s="89" t="s">
        <v>130</v>
      </c>
      <c r="W4" s="89" t="s">
        <v>130</v>
      </c>
      <c r="X4" s="89" t="s">
        <v>130</v>
      </c>
      <c r="Y4" s="89" t="s">
        <v>130</v>
      </c>
      <c r="Z4" s="89" t="s">
        <v>130</v>
      </c>
      <c r="AA4" s="89" t="s">
        <v>130</v>
      </c>
      <c r="AB4" s="89" t="s">
        <v>130</v>
      </c>
      <c r="AC4" s="89" t="s">
        <v>130</v>
      </c>
      <c r="AD4" s="89" t="s">
        <v>130</v>
      </c>
      <c r="AE4" s="89" t="s">
        <v>130</v>
      </c>
      <c r="AF4" s="89" t="s">
        <v>130</v>
      </c>
      <c r="AG4" s="89" t="s">
        <v>130</v>
      </c>
      <c r="AH4" s="89" t="s">
        <v>130</v>
      </c>
    </row>
    <row r="5" spans="1:35" ht="111.95" customHeight="1" thickTop="1" thickBot="1">
      <c r="A5" s="8">
        <v>1</v>
      </c>
      <c r="B5" s="77" t="s">
        <v>131</v>
      </c>
      <c r="C5" s="77" t="s">
        <v>132</v>
      </c>
      <c r="D5" s="77" t="s">
        <v>133</v>
      </c>
      <c r="E5" s="42">
        <v>1</v>
      </c>
      <c r="F5" s="42">
        <v>1</v>
      </c>
      <c r="G5" s="42">
        <v>3</v>
      </c>
      <c r="H5" s="42">
        <v>3</v>
      </c>
      <c r="I5" s="42">
        <v>1</v>
      </c>
      <c r="J5" s="42">
        <v>2</v>
      </c>
      <c r="K5" s="42" t="s">
        <v>9</v>
      </c>
      <c r="L5" s="42"/>
      <c r="M5" s="42"/>
      <c r="N5" s="42"/>
      <c r="O5" s="42"/>
      <c r="P5" s="42"/>
      <c r="Q5" s="42"/>
      <c r="R5" s="42"/>
      <c r="S5" s="42"/>
      <c r="T5" s="42"/>
      <c r="U5" s="42"/>
      <c r="V5" s="42"/>
      <c r="W5" s="42"/>
      <c r="X5" s="42"/>
      <c r="Y5" s="42"/>
      <c r="Z5" s="42"/>
      <c r="AA5" s="42"/>
      <c r="AB5" s="42"/>
      <c r="AC5" s="42"/>
      <c r="AD5" s="42"/>
      <c r="AE5" s="42"/>
      <c r="AF5" s="42"/>
      <c r="AG5" s="42"/>
      <c r="AH5" s="42"/>
      <c r="AI5" s="11"/>
    </row>
    <row r="6" spans="1:35" ht="160.5" customHeight="1" thickTop="1" thickBot="1">
      <c r="A6" s="8">
        <v>2</v>
      </c>
      <c r="B6" s="77" t="s">
        <v>134</v>
      </c>
      <c r="C6" s="77" t="s">
        <v>135</v>
      </c>
      <c r="D6" s="77" t="s">
        <v>136</v>
      </c>
      <c r="E6" s="42">
        <v>3</v>
      </c>
      <c r="F6" s="42">
        <v>3</v>
      </c>
      <c r="G6" s="42">
        <v>3</v>
      </c>
      <c r="H6" s="42">
        <v>3</v>
      </c>
      <c r="I6" s="42">
        <v>2</v>
      </c>
      <c r="J6" s="42">
        <v>2</v>
      </c>
      <c r="K6" s="42" t="s">
        <v>9</v>
      </c>
      <c r="L6" s="42"/>
      <c r="M6" s="42"/>
      <c r="N6" s="42"/>
      <c r="O6" s="42"/>
      <c r="P6" s="42"/>
      <c r="Q6" s="42"/>
      <c r="R6" s="42"/>
      <c r="S6" s="42"/>
      <c r="T6" s="42"/>
      <c r="U6" s="42"/>
      <c r="V6" s="42"/>
      <c r="W6" s="42"/>
      <c r="X6" s="42"/>
      <c r="Y6" s="42"/>
      <c r="Z6" s="42"/>
      <c r="AA6" s="42"/>
      <c r="AB6" s="42"/>
      <c r="AC6" s="42"/>
      <c r="AD6" s="42"/>
      <c r="AE6" s="42"/>
      <c r="AF6" s="42"/>
      <c r="AG6" s="42"/>
      <c r="AH6" s="42"/>
    </row>
    <row r="7" spans="1:35" ht="141.6" customHeight="1" thickTop="1" thickBot="1">
      <c r="A7" s="8">
        <v>3</v>
      </c>
      <c r="B7" s="77" t="s">
        <v>137</v>
      </c>
      <c r="C7" s="77" t="s">
        <v>138</v>
      </c>
      <c r="D7" s="77" t="s">
        <v>139</v>
      </c>
      <c r="E7" s="42">
        <v>2</v>
      </c>
      <c r="F7" s="42">
        <v>3</v>
      </c>
      <c r="G7" s="42">
        <v>2</v>
      </c>
      <c r="H7" s="42">
        <v>2</v>
      </c>
      <c r="I7" s="42">
        <v>1</v>
      </c>
      <c r="J7" s="42">
        <v>1</v>
      </c>
      <c r="K7" s="42" t="s">
        <v>9</v>
      </c>
      <c r="L7" s="42"/>
      <c r="M7" s="42"/>
      <c r="N7" s="42"/>
      <c r="O7" s="42"/>
      <c r="P7" s="42"/>
      <c r="Q7" s="42"/>
      <c r="R7" s="42"/>
      <c r="S7" s="42"/>
      <c r="T7" s="42"/>
      <c r="U7" s="42"/>
      <c r="V7" s="42"/>
      <c r="W7" s="42"/>
      <c r="X7" s="42"/>
      <c r="Y7" s="42"/>
      <c r="Z7" s="42"/>
      <c r="AA7" s="42"/>
      <c r="AB7" s="42"/>
      <c r="AC7" s="42"/>
      <c r="AD7" s="42"/>
      <c r="AE7" s="42"/>
      <c r="AF7" s="42"/>
      <c r="AG7" s="42"/>
      <c r="AH7" s="42"/>
    </row>
    <row r="8" spans="1:35" ht="138.94999999999999" customHeight="1" thickTop="1" thickBot="1">
      <c r="A8" s="8">
        <v>4</v>
      </c>
      <c r="B8" s="77" t="s">
        <v>140</v>
      </c>
      <c r="C8" s="77" t="s">
        <v>141</v>
      </c>
      <c r="D8" s="77" t="s">
        <v>142</v>
      </c>
      <c r="E8" s="42">
        <v>1</v>
      </c>
      <c r="F8" s="42">
        <v>1</v>
      </c>
      <c r="G8" s="42">
        <v>1</v>
      </c>
      <c r="H8" s="42">
        <v>1</v>
      </c>
      <c r="I8" s="42">
        <v>1</v>
      </c>
      <c r="J8" s="42">
        <v>1</v>
      </c>
      <c r="K8" s="42" t="s">
        <v>9</v>
      </c>
      <c r="L8" s="42"/>
      <c r="M8" s="42"/>
      <c r="N8" s="42"/>
      <c r="O8" s="42"/>
      <c r="P8" s="42"/>
      <c r="Q8" s="42"/>
      <c r="R8" s="42"/>
      <c r="S8" s="42"/>
      <c r="T8" s="42"/>
      <c r="U8" s="42"/>
      <c r="V8" s="42"/>
      <c r="W8" s="42"/>
      <c r="X8" s="42"/>
      <c r="Y8" s="42"/>
      <c r="Z8" s="42"/>
      <c r="AA8" s="42"/>
      <c r="AB8" s="42"/>
      <c r="AC8" s="42"/>
      <c r="AD8" s="42"/>
      <c r="AE8" s="42"/>
      <c r="AF8" s="42"/>
      <c r="AG8" s="42"/>
      <c r="AH8" s="42"/>
    </row>
    <row r="9" spans="1:35" ht="56.45" customHeight="1" thickTop="1" thickBot="1">
      <c r="A9" s="8">
        <v>5</v>
      </c>
      <c r="B9" s="77" t="s">
        <v>143</v>
      </c>
      <c r="C9" s="77" t="s">
        <v>144</v>
      </c>
      <c r="D9" s="77" t="s">
        <v>145</v>
      </c>
      <c r="E9" s="42">
        <v>1</v>
      </c>
      <c r="F9" s="42">
        <v>1</v>
      </c>
      <c r="G9" s="42">
        <v>1</v>
      </c>
      <c r="H9" s="42">
        <v>1</v>
      </c>
      <c r="I9" s="42">
        <v>1</v>
      </c>
      <c r="J9" s="42">
        <v>1</v>
      </c>
      <c r="K9" s="42" t="s">
        <v>9</v>
      </c>
      <c r="L9" s="42"/>
      <c r="M9" s="42"/>
      <c r="N9" s="42"/>
      <c r="O9" s="42"/>
      <c r="P9" s="42"/>
      <c r="Q9" s="42"/>
      <c r="R9" s="42"/>
      <c r="S9" s="42"/>
      <c r="T9" s="42"/>
      <c r="U9" s="42"/>
      <c r="V9" s="42"/>
      <c r="W9" s="42"/>
      <c r="X9" s="42"/>
      <c r="Y9" s="42"/>
      <c r="Z9" s="42"/>
      <c r="AA9" s="42"/>
      <c r="AB9" s="42"/>
      <c r="AC9" s="42"/>
      <c r="AD9" s="42"/>
      <c r="AE9" s="42"/>
      <c r="AF9" s="42"/>
      <c r="AG9" s="42"/>
      <c r="AH9" s="42"/>
    </row>
    <row r="10" spans="1:35" ht="24.75" thickTop="1" thickBot="1">
      <c r="A10" s="33"/>
      <c r="B10" s="33"/>
      <c r="C10" s="56" t="s">
        <v>146</v>
      </c>
      <c r="D10" s="34"/>
      <c r="E10" s="45">
        <f>IFERROR(IF(COUNTBLANK(E5:E9)&gt;0,"",SUM(E5:E9)/COUNTIF(E5:E9,"&gt;=0")),"")</f>
        <v>1.6</v>
      </c>
      <c r="F10" s="16">
        <f t="shared" ref="F10" si="1">IFERROR(IF(COUNTBLANK(F5:F9)&gt;0,"",SUM(F5:F9)/COUNTIF(F5:F9,"&gt;=0")),"")</f>
        <v>1.8</v>
      </c>
      <c r="G10" s="16">
        <f t="shared" ref="G10" si="2">IFERROR(IF(COUNTBLANK(G5:G9)&gt;0,"",SUM(G5:G9)/COUNTIF(G5:G9,"&gt;=0")),"")</f>
        <v>2</v>
      </c>
      <c r="H10" s="16">
        <f t="shared" ref="H10" si="3">IFERROR(IF(COUNTBLANK(H5:H9)&gt;0,"",SUM(H5:H9)/COUNTIF(H5:H9,"&gt;=0")),"")</f>
        <v>2</v>
      </c>
      <c r="I10" s="16">
        <f t="shared" ref="I10" si="4">IFERROR(IF(COUNTBLANK(I5:I9)&gt;0,"",SUM(I5:I9)/COUNTIF(I5:I9,"&gt;=0")),"")</f>
        <v>1.2</v>
      </c>
      <c r="J10" s="16">
        <f t="shared" ref="J10" si="5">IFERROR(IF(COUNTBLANK(J5:J9)&gt;0,"",SUM(J5:J9)/COUNTIF(J5:J9,"&gt;=0")),"")</f>
        <v>1.4</v>
      </c>
      <c r="K10" s="16" t="str">
        <f t="shared" ref="K10" si="6">IFERROR(IF(COUNTBLANK(K5:K9)&gt;0,"",SUM(K5:K9)/COUNTIF(K5:K9,"&gt;=0")),"")</f>
        <v/>
      </c>
      <c r="L10" s="16" t="str">
        <f t="shared" ref="L10" si="7">IFERROR(IF(COUNTBLANK(L5:L9)&gt;0,"",SUM(L5:L9)/COUNTIF(L5:L9,"&gt;=0")),"")</f>
        <v/>
      </c>
      <c r="M10" s="16" t="str">
        <f t="shared" ref="M10" si="8">IFERROR(IF(COUNTBLANK(M5:M9)&gt;0,"",SUM(M5:M9)/COUNTIF(M5:M9,"&gt;=0")),"")</f>
        <v/>
      </c>
      <c r="N10" s="16" t="str">
        <f t="shared" ref="N10" si="9">IFERROR(IF(COUNTBLANK(N5:N9)&gt;0,"",SUM(N5:N9)/COUNTIF(N5:N9,"&gt;=0")),"")</f>
        <v/>
      </c>
      <c r="O10" s="16" t="str">
        <f t="shared" ref="O10" si="10">IFERROR(IF(COUNTBLANK(O5:O9)&gt;0,"",SUM(O5:O9)/COUNTIF(O5:O9,"&gt;=0")),"")</f>
        <v/>
      </c>
      <c r="P10" s="16" t="str">
        <f t="shared" ref="P10" si="11">IFERROR(IF(COUNTBLANK(P5:P9)&gt;0,"",SUM(P5:P9)/COUNTIF(P5:P9,"&gt;=0")),"")</f>
        <v/>
      </c>
      <c r="Q10" s="16" t="str">
        <f t="shared" ref="Q10" si="12">IFERROR(IF(COUNTBLANK(Q5:Q9)&gt;0,"",SUM(Q5:Q9)/COUNTIF(Q5:Q9,"&gt;=0")),"")</f>
        <v/>
      </c>
      <c r="R10" s="16" t="str">
        <f t="shared" ref="R10" si="13">IFERROR(IF(COUNTBLANK(R5:R9)&gt;0,"",SUM(R5:R9)/COUNTIF(R5:R9,"&gt;=0")),"")</f>
        <v/>
      </c>
      <c r="S10" s="16" t="str">
        <f t="shared" ref="S10" si="14">IFERROR(IF(COUNTBLANK(S5:S9)&gt;0,"",SUM(S5:S9)/COUNTIF(S5:S9,"&gt;=0")),"")</f>
        <v/>
      </c>
      <c r="T10" s="16" t="str">
        <f t="shared" ref="T10" si="15">IFERROR(IF(COUNTBLANK(T5:T9)&gt;0,"",SUM(T5:T9)/COUNTIF(T5:T9,"&gt;=0")),"")</f>
        <v/>
      </c>
      <c r="U10" s="16" t="str">
        <f t="shared" ref="U10" si="16">IFERROR(IF(COUNTBLANK(U5:U9)&gt;0,"",SUM(U5:U9)/COUNTIF(U5:U9,"&gt;=0")),"")</f>
        <v/>
      </c>
      <c r="V10" s="16" t="str">
        <f t="shared" ref="V10" si="17">IFERROR(IF(COUNTBLANK(V5:V9)&gt;0,"",SUM(V5:V9)/COUNTIF(V5:V9,"&gt;=0")),"")</f>
        <v/>
      </c>
      <c r="W10" s="16" t="str">
        <f t="shared" ref="W10" si="18">IFERROR(IF(COUNTBLANK(W5:W9)&gt;0,"",SUM(W5:W9)/COUNTIF(W5:W9,"&gt;=0")),"")</f>
        <v/>
      </c>
      <c r="X10" s="16" t="str">
        <f t="shared" ref="X10" si="19">IFERROR(IF(COUNTBLANK(X5:X9)&gt;0,"",SUM(X5:X9)/COUNTIF(X5:X9,"&gt;=0")),"")</f>
        <v/>
      </c>
      <c r="Y10" s="16" t="str">
        <f t="shared" ref="Y10" si="20">IFERROR(IF(COUNTBLANK(Y5:Y9)&gt;0,"",SUM(Y5:Y9)/COUNTIF(Y5:Y9,"&gt;=0")),"")</f>
        <v/>
      </c>
      <c r="Z10" s="16" t="str">
        <f t="shared" ref="Z10" si="21">IFERROR(IF(COUNTBLANK(Z5:Z9)&gt;0,"",SUM(Z5:Z9)/COUNTIF(Z5:Z9,"&gt;=0")),"")</f>
        <v/>
      </c>
      <c r="AA10" s="16" t="str">
        <f t="shared" ref="AA10" si="22">IFERROR(IF(COUNTBLANK(AA5:AA9)&gt;0,"",SUM(AA5:AA9)/COUNTIF(AA5:AA9,"&gt;=0")),"")</f>
        <v/>
      </c>
      <c r="AB10" s="16" t="str">
        <f t="shared" ref="AB10" si="23">IFERROR(IF(COUNTBLANK(AB5:AB9)&gt;0,"",SUM(AB5:AB9)/COUNTIF(AB5:AB9,"&gt;=0")),"")</f>
        <v/>
      </c>
      <c r="AC10" s="16" t="str">
        <f t="shared" ref="AC10" si="24">IFERROR(IF(COUNTBLANK(AC5:AC9)&gt;0,"",SUM(AC5:AC9)/COUNTIF(AC5:AC9,"&gt;=0")),"")</f>
        <v/>
      </c>
      <c r="AD10" s="16" t="str">
        <f t="shared" ref="AD10" si="25">IFERROR(IF(COUNTBLANK(AD5:AD9)&gt;0,"",SUM(AD5:AD9)/COUNTIF(AD5:AD9,"&gt;=0")),"")</f>
        <v/>
      </c>
      <c r="AE10" s="16" t="str">
        <f t="shared" ref="AE10" si="26">IFERROR(IF(COUNTBLANK(AE5:AE9)&gt;0,"",SUM(AE5:AE9)/COUNTIF(AE5:AE9,"&gt;=0")),"")</f>
        <v/>
      </c>
      <c r="AF10" s="16" t="str">
        <f t="shared" ref="AF10" si="27">IFERROR(IF(COUNTBLANK(AF5:AF9)&gt;0,"",SUM(AF5:AF9)/COUNTIF(AF5:AF9,"&gt;=0")),"")</f>
        <v/>
      </c>
      <c r="AG10" s="16" t="str">
        <f t="shared" ref="AG10" si="28">IFERROR(IF(COUNTBLANK(AG5:AG9)&gt;0,"",SUM(AG5:AG9)/COUNTIF(AG5:AG9,"&gt;=0")),"")</f>
        <v/>
      </c>
      <c r="AH10" s="16" t="str">
        <f t="shared" ref="AH10" si="29">IFERROR(IF(COUNTBLANK(AH5:AH9)&gt;0,"",SUM(AH5:AH9)/COUNTIF(AH5:AH9,"&gt;=0")),"")</f>
        <v/>
      </c>
    </row>
    <row r="11" spans="1:35" s="53" customFormat="1" ht="34.5" customHeight="1" thickTop="1" thickBot="1">
      <c r="A11" s="49"/>
      <c r="B11" s="50"/>
      <c r="C11" s="46" t="s">
        <v>147</v>
      </c>
      <c r="D11" s="52"/>
      <c r="E11" s="46" t="str">
        <f t="shared" ref="E11:M11" si="30">IF(E10="","",IF(E10&lt;1.4,"Low",(IF(AND(E10&gt;=1.4,E10&lt;2.4),"Medium",(IF((AND(E10&gt;=2.4)),"High"))))))</f>
        <v>Medium</v>
      </c>
      <c r="F11" s="46" t="str">
        <f t="shared" si="30"/>
        <v>Medium</v>
      </c>
      <c r="G11" s="46" t="str">
        <f t="shared" si="30"/>
        <v>Medium</v>
      </c>
      <c r="H11" s="46" t="str">
        <f t="shared" si="30"/>
        <v>Medium</v>
      </c>
      <c r="I11" s="46" t="str">
        <f t="shared" si="30"/>
        <v>Low</v>
      </c>
      <c r="J11" s="46" t="str">
        <f t="shared" si="30"/>
        <v>Medium</v>
      </c>
      <c r="K11" s="46" t="str">
        <f t="shared" si="30"/>
        <v/>
      </c>
      <c r="L11" s="46" t="str">
        <f t="shared" si="30"/>
        <v/>
      </c>
      <c r="M11" s="46" t="str">
        <f t="shared" si="30"/>
        <v/>
      </c>
      <c r="N11" s="46" t="str">
        <f t="shared" ref="N11" si="31">IF(N10="","",IF(N10&lt;1.4,"Low",(IF(AND(N10&gt;=1.4,N10&lt;2.4),"Medium",(IF((AND(N10&gt;=2.4)),"High"))))))</f>
        <v/>
      </c>
      <c r="O11" s="46" t="str">
        <f t="shared" ref="O11" si="32">IF(O10="","",IF(O10&lt;1.4,"Low",(IF(AND(O10&gt;=1.4,O10&lt;2.4),"Medium",(IF((AND(O10&gt;=2.4)),"High"))))))</f>
        <v/>
      </c>
      <c r="P11" s="46" t="str">
        <f t="shared" ref="P11" si="33">IF(P10="","",IF(P10&lt;1.4,"Low",(IF(AND(P10&gt;=1.4,P10&lt;2.4),"Medium",(IF((AND(P10&gt;=2.4)),"High"))))))</f>
        <v/>
      </c>
      <c r="Q11" s="46" t="str">
        <f t="shared" ref="Q11" si="34">IF(Q10="","",IF(Q10&lt;1.4,"Low",(IF(AND(Q10&gt;=1.4,Q10&lt;2.4),"Medium",(IF((AND(Q10&gt;=2.4)),"High"))))))</f>
        <v/>
      </c>
      <c r="R11" s="46" t="str">
        <f t="shared" ref="R11" si="35">IF(R10="","",IF(R10&lt;1.4,"Low",(IF(AND(R10&gt;=1.4,R10&lt;2.4),"Medium",(IF((AND(R10&gt;=2.4)),"High"))))))</f>
        <v/>
      </c>
      <c r="S11" s="46" t="str">
        <f t="shared" ref="S11" si="36">IF(S10="","",IF(S10&lt;1.4,"Low",(IF(AND(S10&gt;=1.4,S10&lt;2.4),"Medium",(IF((AND(S10&gt;=2.4)),"High"))))))</f>
        <v/>
      </c>
      <c r="T11" s="46" t="str">
        <f t="shared" ref="T11" si="37">IF(T10="","",IF(T10&lt;1.4,"Low",(IF(AND(T10&gt;=1.4,T10&lt;2.4),"Medium",(IF((AND(T10&gt;=2.4)),"High"))))))</f>
        <v/>
      </c>
      <c r="U11" s="46" t="str">
        <f t="shared" ref="U11" si="38">IF(U10="","",IF(U10&lt;1.4,"Low",(IF(AND(U10&gt;=1.4,U10&lt;2.4),"Medium",(IF((AND(U10&gt;=2.4)),"High"))))))</f>
        <v/>
      </c>
      <c r="V11" s="46" t="str">
        <f t="shared" ref="V11" si="39">IF(V10="","",IF(V10&lt;1.4,"Low",(IF(AND(V10&gt;=1.4,V10&lt;2.4),"Medium",(IF((AND(V10&gt;=2.4)),"High"))))))</f>
        <v/>
      </c>
      <c r="W11" s="46" t="str">
        <f t="shared" ref="W11" si="40">IF(W10="","",IF(W10&lt;1.4,"Low",(IF(AND(W10&gt;=1.4,W10&lt;2.4),"Medium",(IF((AND(W10&gt;=2.4)),"High"))))))</f>
        <v/>
      </c>
      <c r="X11" s="46" t="str">
        <f t="shared" ref="X11" si="41">IF(X10="","",IF(X10&lt;1.4,"Low",(IF(AND(X10&gt;=1.4,X10&lt;2.4),"Medium",(IF((AND(X10&gt;=2.4)),"High"))))))</f>
        <v/>
      </c>
      <c r="Y11" s="46" t="str">
        <f t="shared" ref="Y11" si="42">IF(Y10="","",IF(Y10&lt;1.4,"Low",(IF(AND(Y10&gt;=1.4,Y10&lt;2.4),"Medium",(IF((AND(Y10&gt;=2.4)),"High"))))))</f>
        <v/>
      </c>
      <c r="Z11" s="46" t="str">
        <f t="shared" ref="Z11" si="43">IF(Z10="","",IF(Z10&lt;1.4,"Low",(IF(AND(Z10&gt;=1.4,Z10&lt;2.4),"Medium",(IF((AND(Z10&gt;=2.4)),"High"))))))</f>
        <v/>
      </c>
      <c r="AA11" s="46" t="str">
        <f t="shared" ref="AA11" si="44">IF(AA10="","",IF(AA10&lt;1.4,"Low",(IF(AND(AA10&gt;=1.4,AA10&lt;2.4),"Medium",(IF((AND(AA10&gt;=2.4)),"High"))))))</f>
        <v/>
      </c>
      <c r="AB11" s="51" t="str">
        <f t="shared" ref="AB11" si="45">IF(AB10="","",IF(AB10&lt;1.4,"Low",(IF(AND(AB10&gt;=1.4,AB10&lt;2.4),"Medium",(IF((AND(AB10&gt;=2.4)),"High"))))))</f>
        <v/>
      </c>
      <c r="AC11" s="51" t="str">
        <f t="shared" ref="AC11" si="46">IF(AC10="","",IF(AC10&lt;1.4,"Low",(IF(AND(AC10&gt;=1.4,AC10&lt;2.4),"Medium",(IF((AND(AC10&gt;=2.4)),"High"))))))</f>
        <v/>
      </c>
      <c r="AD11" s="51" t="str">
        <f t="shared" ref="AD11" si="47">IF(AD10="","",IF(AD10&lt;1.4,"Low",(IF(AND(AD10&gt;=1.4,AD10&lt;2.4),"Medium",(IF((AND(AD10&gt;=2.4)),"High"))))))</f>
        <v/>
      </c>
      <c r="AE11" s="51" t="str">
        <f t="shared" ref="AE11" si="48">IF(AE10="","",IF(AE10&lt;1.4,"Low",(IF(AND(AE10&gt;=1.4,AE10&lt;2.4),"Medium",(IF((AND(AE10&gt;=2.4)),"High"))))))</f>
        <v/>
      </c>
      <c r="AF11" s="51" t="str">
        <f t="shared" ref="AF11" si="49">IF(AF10="","",IF(AF10&lt;1.4,"Low",(IF(AND(AF10&gt;=1.4,AF10&lt;2.4),"Medium",(IF((AND(AF10&gt;=2.4)),"High"))))))</f>
        <v/>
      </c>
      <c r="AG11" s="51" t="str">
        <f t="shared" ref="AG11" si="50">IF(AG10="","",IF(AG10&lt;1.4,"Low",(IF(AND(AG10&gt;=1.4,AG10&lt;2.4),"Medium",(IF((AND(AG10&gt;=2.4)),"High"))))))</f>
        <v/>
      </c>
      <c r="AH11" s="51" t="str">
        <f t="shared" ref="AH11" si="51">IF(AH10="","",IF(AH10&lt;1.4,"Low",(IF(AND(AH10&gt;=1.4,AH10&lt;2.4),"Medium",(IF((AND(AH10&gt;=2.4)),"High"))))))</f>
        <v/>
      </c>
    </row>
    <row r="12" spans="1:35" ht="15.75" thickBot="1">
      <c r="A12" s="1"/>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row>
    <row r="13" spans="1:35" ht="36.75" customHeight="1" thickTop="1" thickBot="1">
      <c r="C13" s="155" t="s">
        <v>148</v>
      </c>
      <c r="D13" s="156"/>
      <c r="E13" s="5"/>
      <c r="F13" s="5"/>
      <c r="G13" s="5"/>
      <c r="H13" s="5"/>
      <c r="I13" s="5" t="s">
        <v>5</v>
      </c>
      <c r="J13" s="5"/>
      <c r="K13" s="5"/>
      <c r="L13" s="5"/>
      <c r="M13" s="5"/>
      <c r="N13" s="5"/>
      <c r="O13" s="5"/>
      <c r="P13" s="5"/>
      <c r="Q13" s="5"/>
      <c r="R13" s="5"/>
      <c r="S13" s="5"/>
      <c r="T13" s="5"/>
      <c r="U13" s="5"/>
      <c r="V13" s="5"/>
      <c r="W13" s="5"/>
      <c r="X13" s="5"/>
      <c r="Y13" s="5"/>
      <c r="Z13" s="5"/>
      <c r="AA13" s="5"/>
      <c r="AB13" s="5"/>
      <c r="AC13" s="5"/>
      <c r="AD13" s="5"/>
      <c r="AE13" s="5"/>
      <c r="AF13" s="5"/>
      <c r="AG13" s="5"/>
      <c r="AH13" s="5"/>
    </row>
    <row r="14" spans="1:35" ht="271.5" thickTop="1" thickBot="1">
      <c r="D14" s="97" t="s">
        <v>149</v>
      </c>
      <c r="E14" s="96"/>
      <c r="F14" s="96" t="str">
        <f t="shared" ref="F14:AH14" si="52">IF(F13&gt;0,"Add justification","")</f>
        <v/>
      </c>
      <c r="G14" s="96" t="str">
        <f t="shared" si="52"/>
        <v/>
      </c>
      <c r="H14" s="96" t="str">
        <f t="shared" si="52"/>
        <v/>
      </c>
      <c r="I14" s="96" t="s">
        <v>150</v>
      </c>
      <c r="J14" s="96" t="str">
        <f t="shared" si="52"/>
        <v/>
      </c>
      <c r="K14" s="96"/>
      <c r="L14" s="96" t="str">
        <f t="shared" si="52"/>
        <v/>
      </c>
      <c r="M14" s="96" t="str">
        <f t="shared" si="52"/>
        <v/>
      </c>
      <c r="N14" s="96" t="str">
        <f t="shared" si="52"/>
        <v/>
      </c>
      <c r="O14" s="96" t="str">
        <f t="shared" si="52"/>
        <v/>
      </c>
      <c r="P14" s="96" t="str">
        <f t="shared" si="52"/>
        <v/>
      </c>
      <c r="Q14" s="96" t="str">
        <f t="shared" si="52"/>
        <v/>
      </c>
      <c r="R14" s="96" t="str">
        <f t="shared" si="52"/>
        <v/>
      </c>
      <c r="S14" s="96" t="str">
        <f t="shared" si="52"/>
        <v/>
      </c>
      <c r="T14" s="96" t="str">
        <f t="shared" si="52"/>
        <v/>
      </c>
      <c r="U14" s="96" t="str">
        <f t="shared" si="52"/>
        <v/>
      </c>
      <c r="V14" s="96" t="str">
        <f t="shared" si="52"/>
        <v/>
      </c>
      <c r="W14" s="96" t="str">
        <f t="shared" si="52"/>
        <v/>
      </c>
      <c r="X14" s="96" t="str">
        <f t="shared" si="52"/>
        <v/>
      </c>
      <c r="Y14" s="96" t="str">
        <f t="shared" si="52"/>
        <v/>
      </c>
      <c r="Z14" s="96" t="str">
        <f t="shared" si="52"/>
        <v/>
      </c>
      <c r="AA14" s="96" t="str">
        <f t="shared" si="52"/>
        <v/>
      </c>
      <c r="AB14" s="96" t="str">
        <f t="shared" si="52"/>
        <v/>
      </c>
      <c r="AC14" s="96" t="str">
        <f t="shared" si="52"/>
        <v/>
      </c>
      <c r="AD14" s="96" t="str">
        <f t="shared" si="52"/>
        <v/>
      </c>
      <c r="AE14" s="96" t="str">
        <f t="shared" si="52"/>
        <v/>
      </c>
      <c r="AF14" s="96" t="str">
        <f t="shared" si="52"/>
        <v/>
      </c>
      <c r="AG14" s="96" t="str">
        <f t="shared" si="52"/>
        <v/>
      </c>
      <c r="AH14" s="96" t="str">
        <f t="shared" si="52"/>
        <v/>
      </c>
    </row>
    <row r="15" spans="1:35" ht="43.5" customHeight="1" thickTop="1" thickBot="1">
      <c r="A15" s="1"/>
      <c r="C15" s="153" t="s">
        <v>151</v>
      </c>
      <c r="D15" s="154"/>
      <c r="E15" s="5" t="s">
        <v>5</v>
      </c>
      <c r="F15" s="5" t="s">
        <v>5</v>
      </c>
      <c r="G15" s="5" t="s">
        <v>5</v>
      </c>
      <c r="H15" s="5" t="s">
        <v>5</v>
      </c>
      <c r="I15" s="5"/>
      <c r="J15" s="5"/>
      <c r="K15" s="5"/>
      <c r="L15" s="5"/>
      <c r="M15" s="5"/>
      <c r="N15" s="5"/>
      <c r="O15" s="5"/>
      <c r="P15" s="5"/>
      <c r="Q15" s="5"/>
      <c r="R15" s="5"/>
      <c r="S15" s="5"/>
      <c r="T15" s="5"/>
      <c r="U15" s="5"/>
      <c r="V15" s="5"/>
      <c r="W15" s="5"/>
      <c r="X15" s="5"/>
      <c r="Y15" s="5"/>
      <c r="Z15" s="5"/>
      <c r="AA15" s="5"/>
      <c r="AB15" s="5"/>
      <c r="AC15" s="5"/>
      <c r="AD15" s="5"/>
      <c r="AE15" s="5"/>
      <c r="AF15" s="5"/>
      <c r="AG15" s="5"/>
      <c r="AH15" s="5"/>
    </row>
    <row r="16" spans="1:35" ht="366.75" thickTop="1" thickBot="1">
      <c r="D16" s="97" t="s">
        <v>152</v>
      </c>
      <c r="E16" s="96" t="s">
        <v>153</v>
      </c>
      <c r="F16" s="96" t="s">
        <v>154</v>
      </c>
      <c r="G16" s="96" t="s">
        <v>153</v>
      </c>
      <c r="H16" s="96" t="s">
        <v>153</v>
      </c>
      <c r="I16" s="96"/>
      <c r="J16" s="96" t="s">
        <v>155</v>
      </c>
      <c r="K16" s="96"/>
      <c r="L16" s="96"/>
      <c r="M16" s="96"/>
      <c r="N16" s="96"/>
      <c r="O16" s="96"/>
      <c r="P16" s="96"/>
      <c r="Q16" s="96"/>
      <c r="R16" s="96"/>
      <c r="S16" s="96"/>
      <c r="T16" s="96"/>
      <c r="U16" s="96"/>
      <c r="V16" s="96"/>
      <c r="W16" s="96"/>
      <c r="X16" s="96"/>
      <c r="Y16" s="96"/>
      <c r="Z16" s="96"/>
      <c r="AA16" s="96"/>
      <c r="AB16" s="96"/>
      <c r="AC16" s="96"/>
      <c r="AD16" s="96"/>
      <c r="AE16" s="96"/>
      <c r="AF16" s="96"/>
      <c r="AG16" s="96"/>
      <c r="AH16" s="96"/>
    </row>
  </sheetData>
  <sheetProtection formatCells="0" formatColumns="0" insertColumns="0" insertRows="0" insertHyperlinks="0" deleteColumns="0" deleteRows="0"/>
  <protectedRanges>
    <protectedRange algorithmName="SHA-512" hashValue="TR5oMIz8+Sm8e/PdmAnLzFOabawUkLHFiNdol1J79s4/y6+LDyUYrVwQy+K9nLInDV87+YxALU8chBBUFv07Eg==" saltValue="lU+9RAH7AP75CvDx2efwlw==" spinCount="100000" sqref="E14:AH14" name="Range1"/>
  </protectedRanges>
  <mergeCells count="3">
    <mergeCell ref="C15:D15"/>
    <mergeCell ref="C13:D13"/>
    <mergeCell ref="A4:B4"/>
  </mergeCells>
  <conditionalFormatting sqref="E5:AH9">
    <cfRule type="cellIs" dxfId="14" priority="1" operator="equal">
      <formula>1</formula>
    </cfRule>
    <cfRule type="cellIs" dxfId="13" priority="2" operator="equal">
      <formula>2</formula>
    </cfRule>
    <cfRule type="cellIs" dxfId="12" priority="3" operator="equal">
      <formula>3</formula>
    </cfRule>
  </conditionalFormatting>
  <pageMargins left="0.7" right="0.7" top="0.78740157499999996" bottom="0.78740157499999996" header="0.3" footer="0.3"/>
  <pageSetup paperSize="9" orientation="portrait" r:id="rId1"/>
  <headerFooter>
    <oddFooter>&amp;C&amp;1#&amp;"Calibri"&amp;10&amp;K000000Confidential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A376B8-1788-4E33-9B20-934907663F6D}">
          <x14:formula1>
            <xm:f>'Dropdown lists'!$A$2:$A$4</xm:f>
          </x14:formula1>
          <xm:sqref>E13:AH13 E15:AH15</xm:sqref>
        </x14:dataValidation>
        <x14:dataValidation type="list" allowBlank="1" showInputMessage="1" showErrorMessage="1" xr:uid="{C30566B8-13B2-40A1-A613-76B62E93EF88}">
          <x14:formula1>
            <xm:f>'Dropdown lists'!$B$2:$B$5</xm:f>
          </x14:formula1>
          <xm:sqref>E5:AH9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221E6-88B5-4A6A-ACA3-A66DB85AC77D}">
  <sheetPr codeName="Sheet9"/>
  <dimension ref="A1:AD35"/>
  <sheetViews>
    <sheetView workbookViewId="0">
      <selection activeCell="A3" sqref="A3"/>
    </sheetView>
  </sheetViews>
  <sheetFormatPr defaultRowHeight="15"/>
  <sheetData>
    <row r="1" spans="1:30">
      <c r="A1" t="str">
        <f>IF('Internal People &amp; Staff'!E$13="",'Internal People &amp; Staff'!E$11,IF(OR('Internal People &amp; Staff'!#REF!="Put here justification for overriding",'Internal People &amp; Staff'!#REF!=""),"Put justification for overriding!",'Internal People &amp; Staff'!E$13))</f>
        <v>Medium</v>
      </c>
      <c r="B1" t="str">
        <f>IF('Internal People &amp; Staff'!F$13="",'Internal People &amp; Staff'!F$11,IF(OR('Internal People &amp; Staff'!#REF!="Put here justification for overriding",'Internal People &amp; Staff'!#REF!=""),"Put justification for overriding!",'Internal People &amp; Staff'!F$13))</f>
        <v>Medium</v>
      </c>
      <c r="C1" t="str">
        <f>IF('Internal People &amp; Staff'!G$13="",'Internal People &amp; Staff'!G$11,IF(OR('Internal People &amp; Staff'!#REF!="Put here justification for overriding",'Internal People &amp; Staff'!#REF!=""),"Put justification for overriding!",'Internal People &amp; Staff'!G$13))</f>
        <v>Medium</v>
      </c>
      <c r="D1" t="str">
        <f>IF('Internal People &amp; Staff'!H$13="",'Internal People &amp; Staff'!H$11,IF(OR('Internal People &amp; Staff'!#REF!="Put here justification for overriding",'Internal People &amp; Staff'!#REF!=""),"Put justification for overriding!",'Internal People &amp; Staff'!H$13))</f>
        <v>Medium</v>
      </c>
      <c r="E1" t="e">
        <f>IF('Internal People &amp; Staff'!I$13="",'Internal People &amp; Staff'!I$11,IF(OR('Internal People &amp; Staff'!#REF!="Put here justification for overriding",'Internal People &amp; Staff'!#REF!=""),"Put justification for overriding!",'Internal People &amp; Staff'!I$13))</f>
        <v>#REF!</v>
      </c>
      <c r="F1" t="str">
        <f>IF('Internal People &amp; Staff'!J$13="",'Internal People &amp; Staff'!J$11,IF(OR('Internal People &amp; Staff'!#REF!="Put here justification for overriding",'Internal People &amp; Staff'!#REF!=""),"Put justification for overriding!",'Internal People &amp; Staff'!J$13))</f>
        <v>Medium</v>
      </c>
      <c r="G1" t="str">
        <f>IF('Internal People &amp; Staff'!K$13="",'Internal People &amp; Staff'!K$11,IF(OR('Internal People &amp; Staff'!#REF!="Put here justification for overriding",'Internal People &amp; Staff'!#REF!=""),"Put justification for overriding!",'Internal People &amp; Staff'!K$13))</f>
        <v/>
      </c>
      <c r="H1" t="str">
        <f>IF('Internal People &amp; Staff'!L$13="",'Internal People &amp; Staff'!L$11,IF(OR('Internal People &amp; Staff'!#REF!="Put here justification for overriding",'Internal People &amp; Staff'!#REF!=""),"Put justification for overriding!",'Internal People &amp; Staff'!L$13))</f>
        <v/>
      </c>
      <c r="I1" t="str">
        <f>IF('Internal People &amp; Staff'!M$13="",'Internal People &amp; Staff'!M$11,IF(OR('Internal People &amp; Staff'!#REF!="Put here justification for overriding",'Internal People &amp; Staff'!#REF!=""),"Put justification for overriding!",'Internal People &amp; Staff'!M$13))</f>
        <v/>
      </c>
      <c r="J1" t="str">
        <f>IF('Internal People &amp; Staff'!N$13="",'Internal People &amp; Staff'!N$11,IF(OR('Internal People &amp; Staff'!#REF!="Put here justification for overriding",'Internal People &amp; Staff'!#REF!=""),"Put justification for overriding!",'Internal People &amp; Staff'!N$13))</f>
        <v/>
      </c>
      <c r="K1" t="str">
        <f>IF('Internal People &amp; Staff'!O$13="",'Internal People &amp; Staff'!O$11,IF(OR('Internal People &amp; Staff'!#REF!="Put here justification for overriding",'Internal People &amp; Staff'!#REF!=""),"Put justification for overriding!",'Internal People &amp; Staff'!O$13))</f>
        <v/>
      </c>
      <c r="L1" t="str">
        <f>IF('Internal People &amp; Staff'!P$13="",'Internal People &amp; Staff'!P$11,IF(OR('Internal People &amp; Staff'!#REF!="Put here justification for overriding",'Internal People &amp; Staff'!#REF!=""),"Put justification for overriding!",'Internal People &amp; Staff'!P$13))</f>
        <v/>
      </c>
      <c r="M1" t="str">
        <f>IF('Internal People &amp; Staff'!Q$13="",'Internal People &amp; Staff'!Q$11,IF(OR('Internal People &amp; Staff'!#REF!="Put here justification for overriding",'Internal People &amp; Staff'!#REF!=""),"Put justification for overriding!",'Internal People &amp; Staff'!Q$13))</f>
        <v/>
      </c>
      <c r="N1" t="str">
        <f>IF('Internal People &amp; Staff'!R$13="",'Internal People &amp; Staff'!R$11,IF(OR('Internal People &amp; Staff'!#REF!="Put here justification for overriding",'Internal People &amp; Staff'!#REF!=""),"Put justification for overriding!",'Internal People &amp; Staff'!R$13))</f>
        <v/>
      </c>
      <c r="O1" t="str">
        <f>IF('Internal People &amp; Staff'!S$13="",'Internal People &amp; Staff'!S$11,IF(OR('Internal People &amp; Staff'!#REF!="Put here justification for overriding",'Internal People &amp; Staff'!#REF!=""),"Put justification for overriding!",'Internal People &amp; Staff'!S$13))</f>
        <v/>
      </c>
      <c r="P1" t="str">
        <f>IF('Internal People &amp; Staff'!T$13="",'Internal People &amp; Staff'!T$11,IF(OR('Internal People &amp; Staff'!#REF!="Put here justification for overriding",'Internal People &amp; Staff'!#REF!=""),"Put justification for overriding!",'Internal People &amp; Staff'!T$13))</f>
        <v/>
      </c>
      <c r="Q1" t="str">
        <f>IF('Internal People &amp; Staff'!U$13="",'Internal People &amp; Staff'!U$11,IF(OR('Internal People &amp; Staff'!#REF!="Put here justification for overriding",'Internal People &amp; Staff'!#REF!=""),"Put justification for overriding!",'Internal People &amp; Staff'!U$13))</f>
        <v/>
      </c>
      <c r="R1" t="str">
        <f>IF('Internal People &amp; Staff'!V$13="",'Internal People &amp; Staff'!V$11,IF(OR('Internal People &amp; Staff'!#REF!="Put here justification for overriding",'Internal People &amp; Staff'!#REF!=""),"Put justification for overriding!",'Internal People &amp; Staff'!V$13))</f>
        <v/>
      </c>
      <c r="S1" t="str">
        <f>IF('Internal People &amp; Staff'!W$13="",'Internal People &amp; Staff'!W$11,IF(OR('Internal People &amp; Staff'!#REF!="Put here justification for overriding",'Internal People &amp; Staff'!#REF!=""),"Put justification for overriding!",'Internal People &amp; Staff'!W$13))</f>
        <v/>
      </c>
      <c r="T1" t="str">
        <f>IF('Internal People &amp; Staff'!X$13="",'Internal People &amp; Staff'!X$11,IF(OR('Internal People &amp; Staff'!#REF!="Put here justification for overriding",'Internal People &amp; Staff'!#REF!=""),"Put justification for overriding!",'Internal People &amp; Staff'!X$13))</f>
        <v/>
      </c>
      <c r="U1" t="str">
        <f>IF('Internal People &amp; Staff'!Y$13="",'Internal People &amp; Staff'!Y$11,IF(OR('Internal People &amp; Staff'!#REF!="Put here justification for overriding",'Internal People &amp; Staff'!#REF!=""),"Put justification for overriding!",'Internal People &amp; Staff'!Y$13))</f>
        <v/>
      </c>
      <c r="V1" t="str">
        <f>IF('Internal People &amp; Staff'!Z$13="",'Internal People &amp; Staff'!Z$11,IF(OR('Internal People &amp; Staff'!#REF!="Put here justification for overriding",'Internal People &amp; Staff'!#REF!=""),"Put justification for overriding!",'Internal People &amp; Staff'!Z$13))</f>
        <v/>
      </c>
      <c r="W1" t="str">
        <f>IF('Internal People &amp; Staff'!AA$13="",'Internal People &amp; Staff'!AA$11,IF(OR('Internal People &amp; Staff'!#REF!="Put here justification for overriding",'Internal People &amp; Staff'!#REF!=""),"Put justification for overriding!",'Internal People &amp; Staff'!AA$13))</f>
        <v/>
      </c>
      <c r="X1" t="str">
        <f>IF('Internal People &amp; Staff'!AB$13="",'Internal People &amp; Staff'!AB$11,IF(OR('Internal People &amp; Staff'!#REF!="Put here justification for overriding",'Internal People &amp; Staff'!#REF!=""),"Put justification for overriding!",'Internal People &amp; Staff'!AB$13))</f>
        <v/>
      </c>
      <c r="Y1" t="str">
        <f>IF('Internal People &amp; Staff'!AC$13="",'Internal People &amp; Staff'!AC$11,IF(OR('Internal People &amp; Staff'!#REF!="Put here justification for overriding",'Internal People &amp; Staff'!#REF!=""),"Put justification for overriding!",'Internal People &amp; Staff'!AC$13))</f>
        <v/>
      </c>
      <c r="Z1" t="str">
        <f>IF('Internal People &amp; Staff'!AD$13="",'Internal People &amp; Staff'!AD$11,IF(OR('Internal People &amp; Staff'!#REF!="Put here justification for overriding",'Internal People &amp; Staff'!#REF!=""),"Put justification for overriding!",'Internal People &amp; Staff'!AD$13))</f>
        <v/>
      </c>
      <c r="AA1" t="str">
        <f>IF('Internal People &amp; Staff'!AE$13="",'Internal People &amp; Staff'!AE$11,IF(OR('Internal People &amp; Staff'!#REF!="Put here justification for overriding",'Internal People &amp; Staff'!#REF!=""),"Put justification for overriding!",'Internal People &amp; Staff'!AE$13))</f>
        <v/>
      </c>
      <c r="AB1" t="str">
        <f>IF('Internal People &amp; Staff'!AF$13="",'Internal People &amp; Staff'!AF$11,IF(OR('Internal People &amp; Staff'!#REF!="Put here justification for overriding",'Internal People &amp; Staff'!#REF!=""),"Put justification for overriding!",'Internal People &amp; Staff'!AF$13))</f>
        <v/>
      </c>
      <c r="AC1" t="str">
        <f>IF('Internal People &amp; Staff'!AG$13="",'Internal People &amp; Staff'!AG$11,IF(OR('Internal People &amp; Staff'!#REF!="Put here justification for overriding",'Internal People &amp; Staff'!#REF!=""),"Put justification for overriding!",'Internal People &amp; Staff'!AG$13))</f>
        <v/>
      </c>
      <c r="AD1" t="str">
        <f>IF('Internal People &amp; Staff'!AH$13="",'Internal People &amp; Staff'!AH$11,IF(OR('Internal People &amp; Staff'!#REF!="Put here justification for overriding",'Internal People &amp; Staff'!#REF!=""),"Put justification for overriding!",'Internal People &amp; Staff'!AH$13))</f>
        <v/>
      </c>
    </row>
    <row r="2" spans="1:30">
      <c r="A2" t="str">
        <f>IF(Processes!E$12="",Processes!E$10,IF(OR(Processes!#REF!="Put here justification for overriding",Processes!#REF!=""),"Put justification for overriding!",Processes!E$12))</f>
        <v>Medium</v>
      </c>
      <c r="B2" t="e">
        <f>IF(Processes!F$12="",Processes!F$10,IF(OR(Processes!#REF!="Put here justification for overriding",Processes!#REF!=""),"Put justification for overriding!",Processes!F$12))</f>
        <v>#REF!</v>
      </c>
      <c r="C2" t="str">
        <f>IF(Processes!G$12="",Processes!G$10,IF(OR(Processes!#REF!="Put here justification for overriding",Processes!#REF!=""),"Put justification for overriding!",Processes!G$12))</f>
        <v>High</v>
      </c>
      <c r="D2" t="str">
        <f>IF(Processes!H$12="",Processes!H$10,IF(OR(Processes!#REF!="Put here justification for overriding",Processes!#REF!=""),"Put justification for overriding!",Processes!H$12))</f>
        <v>High</v>
      </c>
      <c r="E2" t="str">
        <f>IF(Processes!I$12="",Processes!I$10,IF(OR(Processes!#REF!="Put here justification for overriding",Processes!#REF!=""),"Put justification for overriding!",Processes!I$12))</f>
        <v>Medium</v>
      </c>
      <c r="F2" t="str">
        <f>IF(Processes!J$12="",Processes!J$10,IF(OR(Processes!#REF!="Put here justification for overriding",Processes!#REF!=""),"Put justification for overriding!",Processes!J$12))</f>
        <v>Medium</v>
      </c>
      <c r="G2" t="str">
        <f>IF(Processes!K$12="",Processes!K$10,IF(OR(Processes!#REF!="Put here justification for overriding",Processes!#REF!=""),"Put justification for overriding!",Processes!K$12))</f>
        <v/>
      </c>
      <c r="H2" t="e">
        <f>IF(Processes!L$12="",Processes!L$10,IF(OR(Processes!#REF!="Put here justification for overriding",Processes!#REF!=""),"Put justification for overriding!",Processes!L$12))</f>
        <v>#REF!</v>
      </c>
      <c r="I2" t="str">
        <f>IF(Processes!M$12="",Processes!M$10,IF(OR(Processes!#REF!="Put here justification for overriding",Processes!#REF!=""),"Put justification for overriding!",Processes!M$12))</f>
        <v/>
      </c>
      <c r="J2" t="str">
        <f>IF(Processes!N$12="",Processes!N$10,IF(OR(Processes!#REF!="Put here justification for overriding",Processes!#REF!=""),"Put justification for overriding!",Processes!N$12))</f>
        <v/>
      </c>
      <c r="K2" t="str">
        <f>IF(Processes!O$12="",Processes!O$10,IF(OR(Processes!#REF!="Put here justification for overriding",Processes!#REF!=""),"Put justification for overriding!",Processes!O$12))</f>
        <v/>
      </c>
      <c r="L2" t="str">
        <f>IF(Processes!P$12="",Processes!P$10,IF(OR(Processes!#REF!="Put here justification for overriding",Processes!#REF!=""),"Put justification for overriding!",Processes!P$12))</f>
        <v/>
      </c>
      <c r="M2" t="str">
        <f>IF(Processes!Q$12="",Processes!Q$10,IF(OR(Processes!#REF!="Put here justification for overriding",Processes!#REF!=""),"Put justification for overriding!",Processes!Q$12))</f>
        <v/>
      </c>
      <c r="N2" t="str">
        <f>IF(Processes!R$12="",Processes!R$10,IF(OR(Processes!#REF!="Put here justification for overriding",Processes!#REF!=""),"Put justification for overriding!",Processes!R$12))</f>
        <v/>
      </c>
      <c r="O2" t="str">
        <f>IF(Processes!S$12="",Processes!S$10,IF(OR(Processes!#REF!="Put here justification for overriding",Processes!#REF!=""),"Put justification for overriding!",Processes!S$12))</f>
        <v/>
      </c>
      <c r="P2" t="str">
        <f>IF(Processes!T$12="",Processes!T$10,IF(OR(Processes!#REF!="Put here justification for overriding",Processes!#REF!=""),"Put justification for overriding!",Processes!T$12))</f>
        <v/>
      </c>
      <c r="Q2" t="str">
        <f>IF(Processes!U$12="",Processes!U$10,IF(OR(Processes!#REF!="Put here justification for overriding",Processes!#REF!=""),"Put justification for overriding!",Processes!U$12))</f>
        <v/>
      </c>
      <c r="R2" t="str">
        <f>IF(Processes!V$12="",Processes!V$10,IF(OR(Processes!#REF!="Put here justification for overriding",Processes!#REF!=""),"Put justification for overriding!",Processes!V$12))</f>
        <v/>
      </c>
      <c r="S2" t="str">
        <f>IF(Processes!W$12="",Processes!W$10,IF(OR(Processes!#REF!="Put here justification for overriding",Processes!#REF!=""),"Put justification for overriding!",Processes!W$12))</f>
        <v/>
      </c>
      <c r="T2" t="str">
        <f>IF(Processes!X$12="",Processes!X$10,IF(OR(Processes!#REF!="Put here justification for overriding",Processes!#REF!=""),"Put justification for overriding!",Processes!X$12))</f>
        <v/>
      </c>
      <c r="U2" t="str">
        <f>IF(Processes!Y$12="",Processes!Y$10,IF(OR(Processes!#REF!="Put here justification for overriding",Processes!#REF!=""),"Put justification for overriding!",Processes!Y$12))</f>
        <v/>
      </c>
      <c r="V2" t="str">
        <f>IF(Processes!Z$12="",Processes!Z$10,IF(OR(Processes!#REF!="Put here justification for overriding",Processes!#REF!=""),"Put justification for overriding!",Processes!Z$12))</f>
        <v/>
      </c>
      <c r="W2" t="str">
        <f>IF(Processes!AA$12="",Processes!AA$10,IF(OR(Processes!#REF!="Put here justification for overriding",Processes!#REF!=""),"Put justification for overriding!",Processes!AA$12))</f>
        <v/>
      </c>
      <c r="X2" t="str">
        <f>IF(Processes!AB$12="",Processes!AB$10,IF(OR(Processes!#REF!="Put here justification for overriding",Processes!#REF!=""),"Put justification for overriding!",Processes!AB$12))</f>
        <v/>
      </c>
      <c r="Y2" t="str">
        <f>IF(Processes!AC$12="",Processes!AC$10,IF(OR(Processes!#REF!="Put here justification for overriding",Processes!#REF!=""),"Put justification for overriding!",Processes!AC$12))</f>
        <v/>
      </c>
      <c r="Z2" t="str">
        <f>IF(Processes!AD$12="",Processes!AD$10,IF(OR(Processes!#REF!="Put here justification for overriding",Processes!#REF!=""),"Put justification for overriding!",Processes!AD$12))</f>
        <v/>
      </c>
      <c r="AA2" t="str">
        <f>IF(Processes!AE$12="",Processes!AE$10,IF(OR(Processes!#REF!="Put here justification for overriding",Processes!#REF!=""),"Put justification for overriding!",Processes!AE$12))</f>
        <v/>
      </c>
      <c r="AB2" t="str">
        <f>IF(Processes!AF$12="",Processes!AF$10,IF(OR(Processes!#REF!="Put here justification for overriding",Processes!#REF!=""),"Put justification for overriding!",Processes!AF$12))</f>
        <v/>
      </c>
      <c r="AC2" t="str">
        <f>IF(Processes!AG$12="",Processes!AG$10,IF(OR(Processes!#REF!="Put here justification for overriding",Processes!#REF!=""),"Put justification for overriding!",Processes!AG$12))</f>
        <v/>
      </c>
      <c r="AD2" t="str">
        <f>IF(Processes!AH$12="",Processes!AH$10,IF(OR(Processes!#REF!="Put here justification for overriding",Processes!#REF!=""),"Put justification for overriding!",Processes!AH$12))</f>
        <v/>
      </c>
    </row>
    <row r="3" spans="1:30">
      <c r="A3" t="str">
        <f>IF('Internal Systems'!E$12="",'Internal Systems'!E$10,IF(OR('Internal Systems'!#REF!="Put here justification for overriding",'Internal Systems'!#REF!=""),"Put justification for overriding!",'Internal Systems'!E$12))</f>
        <v>Low</v>
      </c>
      <c r="B3" t="str">
        <f>IF('Internal Systems'!F$12="",'Internal Systems'!F$10,IF(OR('Internal Systems'!#REF!="Put here justification for overriding",'Internal Systems'!#REF!=""),"Put justification for overriding!",'Internal Systems'!F$12))</f>
        <v>Medium</v>
      </c>
      <c r="C3" t="str">
        <f>IF('Internal Systems'!G$12="",'Internal Systems'!G$10,IF(OR('Internal Systems'!#REF!="Put here justification for overriding",'Internal Systems'!#REF!=""),"Put justification for overriding!",'Internal Systems'!G$12))</f>
        <v>Medium</v>
      </c>
      <c r="D3" t="str">
        <f>IF('Internal Systems'!H$12="",'Internal Systems'!H$10,IF(OR('Internal Systems'!#REF!="Put here justification for overriding",'Internal Systems'!#REF!=""),"Put justification for overriding!",'Internal Systems'!H$12))</f>
        <v>Medium</v>
      </c>
      <c r="E3" t="str">
        <f>IF('Internal Systems'!I$12="",'Internal Systems'!I$10,IF(OR('Internal Systems'!#REF!="Put here justification for overriding",'Internal Systems'!#REF!=""),"Put justification for overriding!",'Internal Systems'!I$12))</f>
        <v>Low</v>
      </c>
      <c r="F3" t="str">
        <f>IF('Internal Systems'!J$12="",'Internal Systems'!J$10,IF(OR('Internal Systems'!#REF!="Put here justification for overriding",'Internal Systems'!#REF!=""),"Put justification for overriding!",'Internal Systems'!J$12))</f>
        <v>Medium</v>
      </c>
      <c r="G3" t="str">
        <f>IF('Internal Systems'!K$12="",'Internal Systems'!K$10,IF(OR('Internal Systems'!#REF!="Put here justification for overriding",'Internal Systems'!#REF!=""),"Put justification for overriding!",'Internal Systems'!K$12))</f>
        <v/>
      </c>
      <c r="H3" t="str">
        <f>IF('Internal Systems'!L$12="",'Internal Systems'!L$10,IF(OR('Internal Systems'!#REF!="Put here justification for overriding",'Internal Systems'!#REF!=""),"Put justification for overriding!",'Internal Systems'!L$12))</f>
        <v/>
      </c>
      <c r="I3" t="str">
        <f>IF('Internal Systems'!M$12="",'Internal Systems'!M$10,IF(OR('Internal Systems'!#REF!="Put here justification for overriding",'Internal Systems'!#REF!=""),"Put justification for overriding!",'Internal Systems'!M$12))</f>
        <v/>
      </c>
      <c r="J3" t="str">
        <f>IF('Internal Systems'!N$12="",'Internal Systems'!N$10,IF(OR('Internal Systems'!#REF!="Put here justification for overriding",'Internal Systems'!#REF!=""),"Put justification for overriding!",'Internal Systems'!N$12))</f>
        <v/>
      </c>
      <c r="K3" t="str">
        <f>IF('Internal Systems'!O$12="",'Internal Systems'!O$10,IF(OR('Internal Systems'!#REF!="Put here justification for overriding",'Internal Systems'!#REF!=""),"Put justification for overriding!",'Internal Systems'!O$12))</f>
        <v/>
      </c>
      <c r="L3" t="str">
        <f>IF('Internal Systems'!P$12="",'Internal Systems'!P$10,IF(OR('Internal Systems'!#REF!="Put here justification for overriding",'Internal Systems'!#REF!=""),"Put justification for overriding!",'Internal Systems'!P$12))</f>
        <v/>
      </c>
      <c r="M3" t="str">
        <f>IF('Internal Systems'!Q$12="",'Internal Systems'!Q$10,IF(OR('Internal Systems'!#REF!="Put here justification for overriding",'Internal Systems'!#REF!=""),"Put justification for overriding!",'Internal Systems'!Q$12))</f>
        <v/>
      </c>
      <c r="N3" t="str">
        <f>IF('Internal Systems'!R$12="",'Internal Systems'!R$10,IF(OR('Internal Systems'!#REF!="Put here justification for overriding",'Internal Systems'!#REF!=""),"Put justification for overriding!",'Internal Systems'!R$12))</f>
        <v/>
      </c>
      <c r="O3" t="str">
        <f>IF('Internal Systems'!S$12="",'Internal Systems'!S$10,IF(OR('Internal Systems'!#REF!="Put here justification for overriding",'Internal Systems'!#REF!=""),"Put justification for overriding!",'Internal Systems'!S$12))</f>
        <v/>
      </c>
      <c r="P3" t="str">
        <f>IF('Internal Systems'!T$12="",'Internal Systems'!T$10,IF(OR('Internal Systems'!#REF!="Put here justification for overriding",'Internal Systems'!#REF!=""),"Put justification for overriding!",'Internal Systems'!T$12))</f>
        <v/>
      </c>
      <c r="Q3" t="str">
        <f>IF('Internal Systems'!U$12="",'Internal Systems'!U$10,IF(OR('Internal Systems'!#REF!="Put here justification for overriding",'Internal Systems'!#REF!=""),"Put justification for overriding!",'Internal Systems'!U$12))</f>
        <v/>
      </c>
      <c r="R3" t="str">
        <f>IF('Internal Systems'!V$12="",'Internal Systems'!V$10,IF(OR('Internal Systems'!#REF!="Put here justification for overriding",'Internal Systems'!#REF!=""),"Put justification for overriding!",'Internal Systems'!V$12))</f>
        <v/>
      </c>
      <c r="S3" t="str">
        <f>IF('Internal Systems'!W$12="",'Internal Systems'!W$10,IF(OR('Internal Systems'!#REF!="Put here justification for overriding",'Internal Systems'!#REF!=""),"Put justification for overriding!",'Internal Systems'!W$12))</f>
        <v/>
      </c>
      <c r="T3" t="str">
        <f>IF('Internal Systems'!X$12="",'Internal Systems'!X$10,IF(OR('Internal Systems'!#REF!="Put here justification for overriding",'Internal Systems'!#REF!=""),"Put justification for overriding!",'Internal Systems'!X$12))</f>
        <v/>
      </c>
      <c r="U3" t="str">
        <f>IF('Internal Systems'!Y$12="",'Internal Systems'!Y$10,IF(OR('Internal Systems'!#REF!="Put here justification for overriding",'Internal Systems'!#REF!=""),"Put justification for overriding!",'Internal Systems'!Y$12))</f>
        <v/>
      </c>
      <c r="V3" t="str">
        <f>IF('Internal Systems'!Z$12="",'Internal Systems'!Z$10,IF(OR('Internal Systems'!#REF!="Put here justification for overriding",'Internal Systems'!#REF!=""),"Put justification for overriding!",'Internal Systems'!Z$12))</f>
        <v/>
      </c>
      <c r="W3" t="str">
        <f>IF('Internal Systems'!AA$12="",'Internal Systems'!AA$10,IF(OR('Internal Systems'!#REF!="Put here justification for overriding",'Internal Systems'!#REF!=""),"Put justification for overriding!",'Internal Systems'!AA$12))</f>
        <v/>
      </c>
      <c r="X3" t="str">
        <f>IF('Internal Systems'!AB$12="",'Internal Systems'!AB$10,IF(OR('Internal Systems'!#REF!="Put here justification for overriding",'Internal Systems'!#REF!=""),"Put justification for overriding!",'Internal Systems'!AB$12))</f>
        <v/>
      </c>
      <c r="Y3" t="str">
        <f>IF('Internal Systems'!AC$12="",'Internal Systems'!AC$10,IF(OR('Internal Systems'!#REF!="Put here justification for overriding",'Internal Systems'!#REF!=""),"Put justification for overriding!",'Internal Systems'!AC$12))</f>
        <v/>
      </c>
      <c r="Z3" t="str">
        <f>IF('Internal Systems'!AD$12="",'Internal Systems'!AD$10,IF(OR('Internal Systems'!#REF!="Put here justification for overriding",'Internal Systems'!#REF!=""),"Put justification for overriding!",'Internal Systems'!AD$12))</f>
        <v/>
      </c>
      <c r="AA3" t="str">
        <f>IF('Internal Systems'!AE$12="",'Internal Systems'!AE$10,IF(OR('Internal Systems'!#REF!="Put here justification for overriding",'Internal Systems'!#REF!=""),"Put justification for overriding!",'Internal Systems'!AE$12))</f>
        <v/>
      </c>
      <c r="AB3" t="str">
        <f>IF('Internal Systems'!AF$12="",'Internal Systems'!AF$10,IF(OR('Internal Systems'!#REF!="Put here justification for overriding",'Internal Systems'!#REF!=""),"Put justification for overriding!",'Internal Systems'!AF$12))</f>
        <v/>
      </c>
      <c r="AC3" t="str">
        <f>IF('Internal Systems'!AG$12="",'Internal Systems'!AG$10,IF(OR('Internal Systems'!#REF!="Put here justification for overriding",'Internal Systems'!#REF!=""),"Put justification for overriding!",'Internal Systems'!AG$12))</f>
        <v/>
      </c>
      <c r="AD3" t="str">
        <f>IF('Internal Systems'!AH$12="",'Internal Systems'!AH$10,IF(OR('Internal Systems'!AI$12="Put here justification for overriding",'Internal Systems'!AI$12=""),"Put justification for overriding!",'Internal Systems'!AH$12))</f>
        <v/>
      </c>
    </row>
    <row r="4" spans="1:30">
      <c r="A4" t="str">
        <f>IF(External!E$13="",External!E$11,IF(OR(External!#REF!="Put here justification for overriding",External!#REF!=""),"Put justification for overriding!",External!E$13))</f>
        <v>Medium</v>
      </c>
      <c r="B4" t="str">
        <f>IF(External!F$13="",External!F$11,IF(OR(External!#REF!="Put here justification for overriding",External!#REF!=""),"Put justification for overriding!",External!F$13))</f>
        <v>Medium</v>
      </c>
      <c r="C4" t="str">
        <f>IF(External!G$13="",External!G$11,IF(OR(External!#REF!="Put here justification for overriding",External!#REF!=""),"Put justification for overriding!",External!G$13))</f>
        <v>High</v>
      </c>
      <c r="D4" t="str">
        <f>IF(External!H$13="",External!H$11,IF(OR(External!#REF!="Put here justification for overriding",External!#REF!=""),"Put justification for overriding!",External!H$13))</f>
        <v>High</v>
      </c>
      <c r="E4" t="str">
        <f>IF(External!I$13="",External!I$11,IF(OR(External!#REF!="Put here justification for overriding",External!#REF!=""),"Put justification for overriding!",External!I$13))</f>
        <v>Low</v>
      </c>
      <c r="F4" t="str">
        <f>IF(External!J$13="",External!J$11,IF(OR(External!#REF!="Put here justification for overriding",External!#REF!=""),"Put justification for overriding!",External!J$13))</f>
        <v>Medium</v>
      </c>
      <c r="G4" t="str">
        <f>IF(External!K$13="",External!K$11,IF(OR(External!#REF!="Put here justification for overriding",External!#REF!=""),"Put justification for overriding!",External!K$13))</f>
        <v/>
      </c>
      <c r="H4" t="str">
        <f>IF(External!L$13="",External!L$11,IF(OR(External!#REF!="Put here justification for overriding",External!#REF!=""),"Put justification for overriding!",External!L$13))</f>
        <v/>
      </c>
      <c r="I4" t="str">
        <f>IF(External!M$13="",External!M$11,IF(OR(External!#REF!="Put here justification for overriding",External!#REF!=""),"Put justification for overriding!",External!M$13))</f>
        <v/>
      </c>
      <c r="J4" t="str">
        <f>IF(External!N$13="",External!N$11,IF(OR(External!#REF!="Put here justification for overriding",External!#REF!=""),"Put justification for overriding!",External!N$13))</f>
        <v/>
      </c>
      <c r="K4" t="str">
        <f>IF(External!O$13="",External!O$11,IF(OR(External!#REF!="Put here justification for overriding",External!#REF!=""),"Put justification for overriding!",External!O$13))</f>
        <v/>
      </c>
      <c r="L4" t="str">
        <f>IF(External!P$13="",External!P$11,IF(OR(External!#REF!="Put here justification for overriding",External!#REF!=""),"Put justification for overriding!",External!P$13))</f>
        <v/>
      </c>
      <c r="M4" t="str">
        <f>IF(External!Q$13="",External!Q$11,IF(OR(External!#REF!="Put here justification for overriding",External!#REF!=""),"Put justification for overriding!",External!Q$13))</f>
        <v/>
      </c>
      <c r="N4" t="str">
        <f>IF(External!R$13="",External!R$11,IF(OR(External!#REF!="Put here justification for overriding",External!#REF!=""),"Put justification for overriding!",External!R$13))</f>
        <v/>
      </c>
      <c r="O4" t="str">
        <f>IF(External!S$13="",External!S$11,IF(OR(External!#REF!="Put here justification for overriding",External!#REF!=""),"Put justification for overriding!",External!S$13))</f>
        <v/>
      </c>
      <c r="P4" t="str">
        <f>IF(External!T$13="",External!T$11,IF(OR(External!#REF!="Put here justification for overriding",External!#REF!=""),"Put justification for overriding!",External!T$13))</f>
        <v/>
      </c>
      <c r="Q4" t="str">
        <f>IF(External!U$13="",External!U$11,IF(OR(External!#REF!="Put here justification for overriding",External!#REF!=""),"Put justification for overriding!",External!U$13))</f>
        <v/>
      </c>
      <c r="R4" t="str">
        <f>IF(External!V$13="",External!V$11,IF(OR(External!#REF!="Put here justification for overriding",External!#REF!=""),"Put justification for overriding!",External!V$13))</f>
        <v/>
      </c>
      <c r="S4" t="str">
        <f>IF(External!W$13="",External!W$11,IF(OR(External!#REF!="Put here justification for overriding",External!#REF!=""),"Put justification for overriding!",External!W$13))</f>
        <v/>
      </c>
      <c r="T4" t="str">
        <f>IF(External!X$13="",External!X$11,IF(OR(External!#REF!="Put here justification for overriding",External!#REF!=""),"Put justification for overriding!",External!X$13))</f>
        <v/>
      </c>
      <c r="U4" t="str">
        <f>IF(External!Y$13="",External!Y$11,IF(OR(External!#REF!="Put here justification for overriding",External!#REF!=""),"Put justification for overriding!",External!Y$13))</f>
        <v/>
      </c>
      <c r="V4" t="str">
        <f>IF(External!Z$13="",External!Z$11,IF(OR(External!#REF!="Put here justification for overriding",External!#REF!=""),"Put justification for overriding!",External!Z$13))</f>
        <v/>
      </c>
      <c r="W4" t="str">
        <f>IF(External!AA$13="",External!AA$11,IF(OR(External!#REF!="Put here justification for overriding",External!#REF!=""),"Put justification for overriding!",External!AA$13))</f>
        <v/>
      </c>
      <c r="X4" t="str">
        <f>IF(External!AB$13="",External!AB$11,IF(OR(External!#REF!="Put here justification for overriding",External!#REF!=""),"Put justification for overriding!",External!AB$13))</f>
        <v/>
      </c>
      <c r="Y4" t="str">
        <f>IF(External!AC$13="",External!AC$11,IF(OR(External!#REF!="Put here justification for overriding",External!#REF!=""),"Put justification for overriding!",External!AC$13))</f>
        <v/>
      </c>
      <c r="Z4" t="str">
        <f>IF(External!AD$13="",External!AD$11,IF(OR(External!#REF!="Put here justification for overriding",External!#REF!=""),"Put justification for overriding!",External!AD$13))</f>
        <v/>
      </c>
      <c r="AA4" t="str">
        <f>IF(External!AE$13="",External!AE$11,IF(OR(External!#REF!="Put here justification for overriding",External!#REF!=""),"Put justification for overriding!",External!AE$13))</f>
        <v/>
      </c>
      <c r="AB4" t="str">
        <f>IF(External!AF$13="",External!AF$11,IF(OR(External!#REF!="Put here justification for overriding",External!#REF!=""),"Put justification for overriding!",External!AF$13))</f>
        <v/>
      </c>
      <c r="AC4" t="str">
        <f>IF(External!AG$13="",External!AG$11,IF(OR(External!#REF!="Put here justification for overriding",External!#REF!=""),"Put justification for overriding!",External!AG$13))</f>
        <v/>
      </c>
      <c r="AD4" t="str">
        <f>IF(External!AH$13="",External!AH$11,IF(OR(External!#REF!="Put here justification for overriding",External!#REF!=""),"Put justification for overriding!",External!AH$13))</f>
        <v/>
      </c>
    </row>
    <row r="6" spans="1:30">
      <c r="A6" t="str">
        <f>IF('Internal People &amp; Staff'!$E$13="",'Internal People &amp; Staff'!$E$11,IF(OR('Internal People &amp; Staff'!#REF!="Put here justification for overriding",'Internal People &amp; Staff'!#REF!=""),"Put justification for overriding!",'Internal People &amp; Staff'!$E$13))</f>
        <v>Medium</v>
      </c>
      <c r="B6" t="str">
        <f>IF(Processes!E$12="",Processes!E$10,IF(OR(Processes!#REF!="Put here justification for overriding",Processes!#REF!=""),"Put justification for overriding!",Processes!E$12))</f>
        <v>Medium</v>
      </c>
      <c r="C6" t="str">
        <f>IF('Internal Systems'!E$12="",'Internal Systems'!E$10,IF(OR('Internal Systems'!#REF!="Put here justification for overriding",'Internal Systems'!#REF!=""),"Put justification for overriding!",'Internal Systems'!E$12))</f>
        <v>Low</v>
      </c>
      <c r="D6" t="str">
        <f>IF(External!E$13="",External!E$11,IF(OR(External!#REF!="Put here justification for overriding",External!#REF!=""),"Put justification for overriding!",External!E$13))</f>
        <v>Medium</v>
      </c>
    </row>
    <row r="7" spans="1:30">
      <c r="A7" t="str">
        <f>IF('Internal People &amp; Staff'!$F$13="",'Internal People &amp; Staff'!$F$11,IF(OR('Internal People &amp; Staff'!#REF!="Put here justification for overriding",'Internal People &amp; Staff'!#REF!=""),"Put justification for overriding!",'Internal People &amp; Staff'!$F$13))</f>
        <v>Medium</v>
      </c>
      <c r="B7" t="e">
        <f>IF(Processes!F$12="",Processes!F$10,IF(OR(Processes!#REF!="Put here justification for overriding",Processes!#REF!=""),"Put justification for overriding!",Processes!F$12))</f>
        <v>#REF!</v>
      </c>
      <c r="C7" t="str">
        <f>IF('Internal Systems'!F$12="",'Internal Systems'!F$10,IF(OR('Internal Systems'!#REF!="Put here justification for overriding",'Internal Systems'!#REF!=""),"Put justification for overriding!",'Internal Systems'!F$12))</f>
        <v>Medium</v>
      </c>
      <c r="D7" t="str">
        <f>IF(External!F$13="",External!F$11,IF(OR(External!#REF!="Put here justification for overriding",External!#REF!=""),"Put justification for overriding!",External!F$13))</f>
        <v>Medium</v>
      </c>
    </row>
    <row r="8" spans="1:30">
      <c r="A8" t="str">
        <f>IF('Internal People &amp; Staff'!$G$13="",'Internal People &amp; Staff'!$G$11,IF(OR('Internal People &amp; Staff'!#REF!="Put here justification for overriding",'Internal People &amp; Staff'!#REF!=""),"Put justification for overriding!",'Internal People &amp; Staff'!$G$13))</f>
        <v>Medium</v>
      </c>
      <c r="B8" t="str">
        <f>IF(Processes!G$12="",Processes!G$10,IF(OR(Processes!#REF!="Put here justification for overriding",Processes!#REF!=""),"Put justification for overriding!",Processes!G$12))</f>
        <v>High</v>
      </c>
      <c r="C8" t="str">
        <f>IF('Internal Systems'!G$12="",'Internal Systems'!G$10,IF(OR('Internal Systems'!#REF!="Put here justification for overriding",'Internal Systems'!#REF!=""),"Put justification for overriding!",'Internal Systems'!G$12))</f>
        <v>Medium</v>
      </c>
      <c r="D8" t="str">
        <f>IF(External!G$13="",External!G$11,IF(OR(External!#REF!="Put here justification for overriding",External!#REF!=""),"Put justification for overriding!",External!G$13))</f>
        <v>High</v>
      </c>
    </row>
    <row r="9" spans="1:30">
      <c r="A9" t="str">
        <f>IF('Internal People &amp; Staff'!$H$13="",'Internal People &amp; Staff'!$H$11,IF(OR('Internal People &amp; Staff'!#REF!="Put here justification for overriding",'Internal People &amp; Staff'!#REF!=""),"Put justification for overriding!",'Internal People &amp; Staff'!$H$13))</f>
        <v>Medium</v>
      </c>
      <c r="B9" t="str">
        <f>IF(Processes!H$12="",Processes!H$10,IF(OR(Processes!#REF!="Put here justification for overriding",Processes!#REF!=""),"Put justification for overriding!",Processes!H$12))</f>
        <v>High</v>
      </c>
      <c r="C9" t="str">
        <f>IF('Internal Systems'!H$12="",'Internal Systems'!H$10,IF(OR('Internal Systems'!#REF!="Put here justification for overriding",'Internal Systems'!#REF!=""),"Put justification for overriding!",'Internal Systems'!H$12))</f>
        <v>Medium</v>
      </c>
      <c r="D9" t="str">
        <f>IF(External!H$13="",External!H$11,IF(OR(External!#REF!="Put here justification for overriding",External!#REF!=""),"Put justification for overriding!",External!H$13))</f>
        <v>High</v>
      </c>
    </row>
    <row r="10" spans="1:30">
      <c r="A10" t="e">
        <f>IF('Internal People &amp; Staff'!$I$13="",'Internal People &amp; Staff'!$I$11,IF(OR('Internal People &amp; Staff'!#REF!="Put here justification for overriding",'Internal People &amp; Staff'!#REF!=""),"Put justification for overriding!",'Internal People &amp; Staff'!$I$13))</f>
        <v>#REF!</v>
      </c>
      <c r="B10" t="str">
        <f>IF(Processes!I$12="",Processes!I$10,IF(OR(Processes!#REF!="Put here justification for overriding",Processes!#REF!=""),"Put justification for overriding!",Processes!I$12))</f>
        <v>Medium</v>
      </c>
      <c r="C10" t="str">
        <f>IF('Internal Systems'!I$12="",'Internal Systems'!I$10,IF(OR('Internal Systems'!#REF!="Put here justification for overriding",'Internal Systems'!#REF!=""),"Put justification for overriding!",'Internal Systems'!I$12))</f>
        <v>Low</v>
      </c>
      <c r="D10" t="str">
        <f>IF(External!I$13="",External!I$11,IF(OR(External!#REF!="Put here justification for overriding",External!#REF!=""),"Put justification for overriding!",External!I$13))</f>
        <v>Low</v>
      </c>
    </row>
    <row r="11" spans="1:30">
      <c r="A11" t="str">
        <f>IF('Internal People &amp; Staff'!J$13="",'Internal People &amp; Staff'!J$11,IF(OR('Internal People &amp; Staff'!#REF!="Put here justification for overriding",'Internal People &amp; Staff'!#REF!=""),"Put justification for overriding!",'Internal People &amp; Staff'!J$13))</f>
        <v>Medium</v>
      </c>
      <c r="B11" t="str">
        <f>IF(Processes!J$12="",Processes!J$10,IF(OR(Processes!#REF!="Put here justification for overriding",Processes!#REF!=""),"Put justification for overriding!",Processes!J$12))</f>
        <v>Medium</v>
      </c>
      <c r="C11" t="str">
        <f>IF('Internal Systems'!J$12="",'Internal Systems'!J$10,IF(OR('Internal Systems'!#REF!="Put here justification for overriding",'Internal Systems'!#REF!=""),"Put justification for overriding!",'Internal Systems'!J$12))</f>
        <v>Medium</v>
      </c>
      <c r="D11" t="str">
        <f>IF(External!J$13="",External!J$11,IF(OR(External!#REF!="Put here justification for overriding",External!#REF!=""),"Put justification for overriding!",External!J$13))</f>
        <v>Medium</v>
      </c>
    </row>
    <row r="12" spans="1:30">
      <c r="A12" t="str">
        <f>IF('Internal People &amp; Staff'!K$13="",'Internal People &amp; Staff'!K$11,IF(OR('Internal People &amp; Staff'!#REF!="Put here justification for overriding",'Internal People &amp; Staff'!#REF!=""),"Put justification for overriding!",'Internal People &amp; Staff'!K$13))</f>
        <v/>
      </c>
      <c r="B12" t="str">
        <f>IF(Processes!K$12="",Processes!K$10,IF(OR(Processes!#REF!="Put here justification for overriding",Processes!#REF!=""),"Put justification for overriding!",Processes!K$12))</f>
        <v/>
      </c>
      <c r="C12" t="str">
        <f>IF('Internal Systems'!K$12="",'Internal Systems'!K$10,IF(OR('Internal Systems'!#REF!="Put here justification for overriding",'Internal Systems'!#REF!=""),"Put justification for overriding!",'Internal Systems'!K$12))</f>
        <v/>
      </c>
      <c r="D12" t="str">
        <f>IF(External!K$13="",External!K$11,IF(OR(External!#REF!="Put here justification for overriding",External!#REF!=""),"Put justification for overriding!",External!K$13))</f>
        <v/>
      </c>
    </row>
    <row r="13" spans="1:30">
      <c r="A13" t="str">
        <f>IF('Internal People &amp; Staff'!L$13="",'Internal People &amp; Staff'!L$11,IF(OR('Internal People &amp; Staff'!#REF!="Put here justification for overriding",'Internal People &amp; Staff'!#REF!=""),"Put justification for overriding!",'Internal People &amp; Staff'!L$13))</f>
        <v/>
      </c>
      <c r="B13" t="e">
        <f>IF(Processes!L$12="",Processes!L$10,IF(OR(Processes!#REF!="Put here justification for overriding",Processes!#REF!=""),"Put justification for overriding!",Processes!L$12))</f>
        <v>#REF!</v>
      </c>
      <c r="C13" t="str">
        <f>IF('Internal Systems'!L$12="",'Internal Systems'!L$10,IF(OR('Internal Systems'!#REF!="Put here justification for overriding",'Internal Systems'!#REF!=""),"Put justification for overriding!",'Internal Systems'!L$12))</f>
        <v/>
      </c>
      <c r="D13" t="str">
        <f>IF(External!L$13="",External!L$11,IF(OR(External!#REF!="Put here justification for overriding",External!#REF!=""),"Put justification for overriding!",External!L$13))</f>
        <v/>
      </c>
    </row>
    <row r="14" spans="1:30">
      <c r="A14" t="str">
        <f>IF('Internal People &amp; Staff'!M$13="",'Internal People &amp; Staff'!M$11,IF(OR('Internal People &amp; Staff'!#REF!="Put here justification for overriding",'Internal People &amp; Staff'!#REF!=""),"Put justification for overriding!",'Internal People &amp; Staff'!M$13))</f>
        <v/>
      </c>
      <c r="B14" t="str">
        <f>IF(Processes!M$12="",Processes!M$10,IF(OR(Processes!#REF!="Put here justification for overriding",Processes!#REF!=""),"Put justification for overriding!",Processes!M$12))</f>
        <v/>
      </c>
      <c r="C14" t="str">
        <f>IF('Internal Systems'!M$12="",'Internal Systems'!M$10,IF(OR('Internal Systems'!#REF!="Put here justification for overriding",'Internal Systems'!#REF!=""),"Put justification for overriding!",'Internal Systems'!M$12))</f>
        <v/>
      </c>
      <c r="D14" t="str">
        <f>IF(External!M$13="",External!M$11,IF(OR(External!#REF!="Put here justification for overriding",External!#REF!=""),"Put justification for overriding!",External!M$13))</f>
        <v/>
      </c>
    </row>
    <row r="15" spans="1:30">
      <c r="A15" t="str">
        <f>IF('Internal People &amp; Staff'!N$13="",'Internal People &amp; Staff'!N$11,IF(OR('Internal People &amp; Staff'!#REF!="Put here justification for overriding",'Internal People &amp; Staff'!#REF!=""),"Put justification for overriding!",'Internal People &amp; Staff'!N$13))</f>
        <v/>
      </c>
      <c r="B15" t="str">
        <f>IF(Processes!N$12="",Processes!N$10,IF(OR(Processes!#REF!="Put here justification for overriding",Processes!#REF!=""),"Put justification for overriding!",Processes!N$12))</f>
        <v/>
      </c>
      <c r="C15" t="str">
        <f>IF('Internal Systems'!N$12="",'Internal Systems'!N$10,IF(OR('Internal Systems'!#REF!="Put here justification for overriding",'Internal Systems'!#REF!=""),"Put justification for overriding!",'Internal Systems'!N$12))</f>
        <v/>
      </c>
      <c r="D15" t="str">
        <f>IF(External!N$13="",External!N$11,IF(OR(External!#REF!="Put here justification for overriding",External!#REF!=""),"Put justification for overriding!",External!N$13))</f>
        <v/>
      </c>
    </row>
    <row r="16" spans="1:30">
      <c r="A16" t="str">
        <f>IF('Internal People &amp; Staff'!O$13="",'Internal People &amp; Staff'!O$11,IF(OR('Internal People &amp; Staff'!#REF!="Put here justification for overriding",'Internal People &amp; Staff'!#REF!=""),"Put justification for overriding!",'Internal People &amp; Staff'!O$13))</f>
        <v/>
      </c>
      <c r="B16" t="str">
        <f>IF(Processes!O$12="",Processes!O$10,IF(OR(Processes!#REF!="Put here justification for overriding",Processes!#REF!=""),"Put justification for overriding!",Processes!O$12))</f>
        <v/>
      </c>
      <c r="C16" t="str">
        <f>IF('Internal Systems'!O$12="",'Internal Systems'!O$10,IF(OR('Internal Systems'!#REF!="Put here justification for overriding",'Internal Systems'!#REF!=""),"Put justification for overriding!",'Internal Systems'!O$12))</f>
        <v/>
      </c>
      <c r="D16" t="str">
        <f>IF(External!O$13="",External!O$11,IF(OR(External!#REF!="Put here justification for overriding",External!#REF!=""),"Put justification for overriding!",External!O$13))</f>
        <v/>
      </c>
    </row>
    <row r="17" spans="1:4">
      <c r="A17" t="str">
        <f>IF('Internal People &amp; Staff'!P$13="",'Internal People &amp; Staff'!P$11,IF(OR('Internal People &amp; Staff'!#REF!="Put here justification for overriding",'Internal People &amp; Staff'!#REF!=""),"Put justification for overriding!",'Internal People &amp; Staff'!P$13))</f>
        <v/>
      </c>
      <c r="B17" t="str">
        <f>IF(Processes!P$12="",Processes!P$10,IF(OR(Processes!#REF!="Put here justification for overriding",Processes!#REF!=""),"Put justification for overriding!",Processes!P$12))</f>
        <v/>
      </c>
      <c r="C17" t="str">
        <f>IF('Internal Systems'!P$12="",'Internal Systems'!P$10,IF(OR('Internal Systems'!#REF!="Put here justification for overriding",'Internal Systems'!#REF!=""),"Put justification for overriding!",'Internal Systems'!P$12))</f>
        <v/>
      </c>
      <c r="D17" t="str">
        <f>IF(External!P$13="",External!P$11,IF(OR(External!#REF!="Put here justification for overriding",External!#REF!=""),"Put justification for overriding!",External!P$13))</f>
        <v/>
      </c>
    </row>
    <row r="18" spans="1:4">
      <c r="A18" t="str">
        <f>IF('Internal People &amp; Staff'!Q$13="",'Internal People &amp; Staff'!Q$11,IF(OR('Internal People &amp; Staff'!#REF!="Put here justification for overriding",'Internal People &amp; Staff'!#REF!=""),"Put justification for overriding!",'Internal People &amp; Staff'!Q$13))</f>
        <v/>
      </c>
      <c r="B18" t="str">
        <f>IF(Processes!Q$12="",Processes!Q$10,IF(OR(Processes!#REF!="Put here justification for overriding",Processes!#REF!=""),"Put justification for overriding!",Processes!Q$12))</f>
        <v/>
      </c>
      <c r="C18" t="str">
        <f>IF('Internal Systems'!Q$12="",'Internal Systems'!Q$10,IF(OR('Internal Systems'!#REF!="Put here justification for overriding",'Internal Systems'!#REF!=""),"Put justification for overriding!",'Internal Systems'!Q$12))</f>
        <v/>
      </c>
      <c r="D18" t="str">
        <f>IF(External!Q$13="",External!Q$11,IF(OR(External!#REF!="Put here justification for overriding",External!#REF!=""),"Put justification for overriding!",External!Q$13))</f>
        <v/>
      </c>
    </row>
    <row r="19" spans="1:4">
      <c r="A19" t="str">
        <f>IF('Internal People &amp; Staff'!R$13="",'Internal People &amp; Staff'!R$11,IF(OR('Internal People &amp; Staff'!#REF!="Put here justification for overriding",'Internal People &amp; Staff'!#REF!=""),"Put justification for overriding!",'Internal People &amp; Staff'!R$13))</f>
        <v/>
      </c>
      <c r="B19" t="str">
        <f>IF(Processes!R$12="",Processes!R$10,IF(OR(Processes!#REF!="Put here justification for overriding",Processes!#REF!=""),"Put justification for overriding!",Processes!R$12))</f>
        <v/>
      </c>
      <c r="C19" t="str">
        <f>IF('Internal Systems'!R$12="",'Internal Systems'!R$10,IF(OR('Internal Systems'!#REF!="Put here justification for overriding",'Internal Systems'!#REF!=""),"Put justification for overriding!",'Internal Systems'!R$12))</f>
        <v/>
      </c>
      <c r="D19" t="str">
        <f>IF(External!R$13="",External!R$11,IF(OR(External!#REF!="Put here justification for overriding",External!#REF!=""),"Put justification for overriding!",External!R$13))</f>
        <v/>
      </c>
    </row>
    <row r="20" spans="1:4">
      <c r="A20" t="str">
        <f>IF('Internal People &amp; Staff'!S$13="",'Internal People &amp; Staff'!S$11,IF(OR('Internal People &amp; Staff'!#REF!="Put here justification for overriding",'Internal People &amp; Staff'!#REF!=""),"Put justification for overriding!",'Internal People &amp; Staff'!S$13))</f>
        <v/>
      </c>
      <c r="B20" t="str">
        <f>IF(Processes!S$12="",Processes!S$10,IF(OR(Processes!#REF!="Put here justification for overriding",Processes!#REF!=""),"Put justification for overriding!",Processes!S$12))</f>
        <v/>
      </c>
      <c r="C20" t="str">
        <f>IF('Internal Systems'!S$12="",'Internal Systems'!S$10,IF(OR('Internal Systems'!#REF!="Put here justification for overriding",'Internal Systems'!#REF!=""),"Put justification for overriding!",'Internal Systems'!S$12))</f>
        <v/>
      </c>
      <c r="D20" t="str">
        <f>IF(External!S$13="",External!S$11,IF(OR(External!#REF!="Put here justification for overriding",External!#REF!=""),"Put justification for overriding!",External!S$13))</f>
        <v/>
      </c>
    </row>
    <row r="21" spans="1:4">
      <c r="A21" t="str">
        <f>IF('Internal People &amp; Staff'!T$13="",'Internal People &amp; Staff'!T$11,IF(OR('Internal People &amp; Staff'!#REF!="Put here justification for overriding",'Internal People &amp; Staff'!#REF!=""),"Put justification for overriding!",'Internal People &amp; Staff'!T$13))</f>
        <v/>
      </c>
      <c r="B21" t="str">
        <f>IF(Processes!T$12="",Processes!T$10,IF(OR(Processes!#REF!="Put here justification for overriding",Processes!#REF!=""),"Put justification for overriding!",Processes!T$12))</f>
        <v/>
      </c>
      <c r="C21" t="str">
        <f>IF('Internal Systems'!T$12="",'Internal Systems'!T$10,IF(OR('Internal Systems'!#REF!="Put here justification for overriding",'Internal Systems'!#REF!=""),"Put justification for overriding!",'Internal Systems'!T$12))</f>
        <v/>
      </c>
      <c r="D21" t="str">
        <f>IF(External!T$13="",External!T$11,IF(OR(External!#REF!="Put here justification for overriding",External!#REF!=""),"Put justification for overriding!",External!T$13))</f>
        <v/>
      </c>
    </row>
    <row r="22" spans="1:4">
      <c r="A22" t="str">
        <f>IF('Internal People &amp; Staff'!U$13="",'Internal People &amp; Staff'!U$11,IF(OR('Internal People &amp; Staff'!#REF!="Put here justification for overriding",'Internal People &amp; Staff'!#REF!=""),"Put justification for overriding!",'Internal People &amp; Staff'!U$13))</f>
        <v/>
      </c>
      <c r="B22" t="str">
        <f>IF(Processes!U$12="",Processes!U$10,IF(OR(Processes!#REF!="Put here justification for overriding",Processes!#REF!=""),"Put justification for overriding!",Processes!U$12))</f>
        <v/>
      </c>
      <c r="C22" t="str">
        <f>IF('Internal Systems'!U$12="",'Internal Systems'!U$10,IF(OR('Internal Systems'!#REF!="Put here justification for overriding",'Internal Systems'!#REF!=""),"Put justification for overriding!",'Internal Systems'!U$12))</f>
        <v/>
      </c>
      <c r="D22" t="str">
        <f>IF(External!U$13="",External!U$11,IF(OR(External!#REF!="Put here justification for overriding",External!#REF!=""),"Put justification for overriding!",External!U$13))</f>
        <v/>
      </c>
    </row>
    <row r="23" spans="1:4">
      <c r="A23" t="str">
        <f>IF('Internal People &amp; Staff'!V$13="",'Internal People &amp; Staff'!V$11,IF(OR('Internal People &amp; Staff'!#REF!="Put here justification for overriding",'Internal People &amp; Staff'!#REF!=""),"Put justification for overriding!",'Internal People &amp; Staff'!V$13))</f>
        <v/>
      </c>
      <c r="B23" t="str">
        <f>IF(Processes!V$12="",Processes!V$10,IF(OR(Processes!#REF!="Put here justification for overriding",Processes!#REF!=""),"Put justification for overriding!",Processes!V$12))</f>
        <v/>
      </c>
      <c r="C23" t="str">
        <f>IF('Internal Systems'!V$12="",'Internal Systems'!V$10,IF(OR('Internal Systems'!#REF!="Put here justification for overriding",'Internal Systems'!#REF!=""),"Put justification for overriding!",'Internal Systems'!V$12))</f>
        <v/>
      </c>
      <c r="D23" t="str">
        <f>IF(External!V$13="",External!V$11,IF(OR(External!#REF!="Put here justification for overriding",External!#REF!=""),"Put justification for overriding!",External!V$13))</f>
        <v/>
      </c>
    </row>
    <row r="24" spans="1:4">
      <c r="A24" t="str">
        <f>IF('Internal People &amp; Staff'!W$13="",'Internal People &amp; Staff'!W$11,IF(OR('Internal People &amp; Staff'!#REF!="Put here justification for overriding",'Internal People &amp; Staff'!#REF!=""),"Put justification for overriding!",'Internal People &amp; Staff'!W$13))</f>
        <v/>
      </c>
      <c r="B24" t="str">
        <f>IF(Processes!W$12="",Processes!W$10,IF(OR(Processes!#REF!="Put here justification for overriding",Processes!#REF!=""),"Put justification for overriding!",Processes!W$12))</f>
        <v/>
      </c>
      <c r="C24" t="str">
        <f>IF('Internal Systems'!W$12="",'Internal Systems'!W$10,IF(OR('Internal Systems'!#REF!="Put here justification for overriding",'Internal Systems'!#REF!=""),"Put justification for overriding!",'Internal Systems'!W$12))</f>
        <v/>
      </c>
      <c r="D24" t="str">
        <f>IF(External!W$13="",External!W$11,IF(OR(External!#REF!="Put here justification for overriding",External!#REF!=""),"Put justification for overriding!",External!W$13))</f>
        <v/>
      </c>
    </row>
    <row r="25" spans="1:4">
      <c r="A25" t="str">
        <f>IF('Internal People &amp; Staff'!X$13="",'Internal People &amp; Staff'!X$11,IF(OR('Internal People &amp; Staff'!#REF!="Put here justification for overriding",'Internal People &amp; Staff'!#REF!=""),"Put justification for overriding!",'Internal People &amp; Staff'!X$13))</f>
        <v/>
      </c>
      <c r="B25" t="str">
        <f>IF(Processes!X$12="",Processes!X$10,IF(OR(Processes!#REF!="Put here justification for overriding",Processes!#REF!=""),"Put justification for overriding!",Processes!X$12))</f>
        <v/>
      </c>
      <c r="C25" t="str">
        <f>IF('Internal Systems'!X$12="",'Internal Systems'!X$10,IF(OR('Internal Systems'!#REF!="Put here justification for overriding",'Internal Systems'!#REF!=""),"Put justification for overriding!",'Internal Systems'!X$12))</f>
        <v/>
      </c>
      <c r="D25" t="str">
        <f>IF(External!X$13="",External!X$11,IF(OR(External!#REF!="Put here justification for overriding",External!#REF!=""),"Put justification for overriding!",External!X$13))</f>
        <v/>
      </c>
    </row>
    <row r="26" spans="1:4">
      <c r="A26" t="str">
        <f>IF('Internal People &amp; Staff'!Y$13="",'Internal People &amp; Staff'!Y$11,IF(OR('Internal People &amp; Staff'!#REF!="Put here justification for overriding",'Internal People &amp; Staff'!#REF!=""),"Put justification for overriding!",'Internal People &amp; Staff'!Y$13))</f>
        <v/>
      </c>
      <c r="B26" t="str">
        <f>IF(Processes!Y$12="",Processes!Y$10,IF(OR(Processes!#REF!="Put here justification for overriding",Processes!#REF!=""),"Put justification for overriding!",Processes!Y$12))</f>
        <v/>
      </c>
      <c r="C26" t="str">
        <f>IF('Internal Systems'!Y$12="",'Internal Systems'!Y$10,IF(OR('Internal Systems'!#REF!="Put here justification for overriding",'Internal Systems'!#REF!=""),"Put justification for overriding!",'Internal Systems'!Y$12))</f>
        <v/>
      </c>
      <c r="D26" t="str">
        <f>IF(External!Y$13="",External!Y$11,IF(OR(External!#REF!="Put here justification for overriding",External!#REF!=""),"Put justification for overriding!",External!Y$13))</f>
        <v/>
      </c>
    </row>
    <row r="27" spans="1:4">
      <c r="A27" t="str">
        <f>IF('Internal People &amp; Staff'!Z$13="",'Internal People &amp; Staff'!Z$11,IF(OR('Internal People &amp; Staff'!#REF!="Put here justification for overriding",'Internal People &amp; Staff'!#REF!=""),"Put justification for overriding!",'Internal People &amp; Staff'!Z$13))</f>
        <v/>
      </c>
      <c r="B27" t="str">
        <f>IF(Processes!Z$12="",Processes!Z$10,IF(OR(Processes!#REF!="Put here justification for overriding",Processes!#REF!=""),"Put justification for overriding!",Processes!Z$12))</f>
        <v/>
      </c>
      <c r="C27" t="str">
        <f>IF('Internal Systems'!Z$12="",'Internal Systems'!Z$10,IF(OR('Internal Systems'!#REF!="Put here justification for overriding",'Internal Systems'!#REF!=""),"Put justification for overriding!",'Internal Systems'!Z$12))</f>
        <v/>
      </c>
      <c r="D27" t="str">
        <f>IF(External!Z$13="",External!Z$11,IF(OR(External!#REF!="Put here justification for overriding",External!#REF!=""),"Put justification for overriding!",External!Z$13))</f>
        <v/>
      </c>
    </row>
    <row r="28" spans="1:4">
      <c r="A28" t="str">
        <f>IF('Internal People &amp; Staff'!AA$13="",'Internal People &amp; Staff'!AA$11,IF(OR('Internal People &amp; Staff'!#REF!="Put here justification for overriding",'Internal People &amp; Staff'!#REF!=""),"Put justification for overriding!",'Internal People &amp; Staff'!AA$13))</f>
        <v/>
      </c>
      <c r="B28" t="str">
        <f>IF(Processes!AA$12="",Processes!AA$10,IF(OR(Processes!#REF!="Put here justification for overriding",Processes!#REF!=""),"Put justification for overriding!",Processes!AA$12))</f>
        <v/>
      </c>
      <c r="C28" t="str">
        <f>IF('Internal Systems'!AA$12="",'Internal Systems'!AA$10,IF(OR('Internal Systems'!#REF!="Put here justification for overriding",'Internal Systems'!#REF!=""),"Put justification for overriding!",'Internal Systems'!AA$12))</f>
        <v/>
      </c>
      <c r="D28" t="str">
        <f>IF(External!AA$13="",External!AA$11,IF(OR(External!#REF!="Put here justification for overriding",External!#REF!=""),"Put justification for overriding!",External!AA$13))</f>
        <v/>
      </c>
    </row>
    <row r="29" spans="1:4">
      <c r="A29" t="str">
        <f>IF('Internal People &amp; Staff'!AB$13="",'Internal People &amp; Staff'!AB$11,IF(OR('Internal People &amp; Staff'!#REF!="Put here justification for overriding",'Internal People &amp; Staff'!#REF!=""),"Put justification for overriding!",'Internal People &amp; Staff'!AB$13))</f>
        <v/>
      </c>
      <c r="B29" t="str">
        <f>IF(Processes!AB$12="",Processes!AB$10,IF(OR(Processes!#REF!="Put here justification for overriding",Processes!#REF!=""),"Put justification for overriding!",Processes!AB$12))</f>
        <v/>
      </c>
      <c r="C29" t="str">
        <f>IF('Internal Systems'!AB$12="",'Internal Systems'!AB$10,IF(OR('Internal Systems'!#REF!="Put here justification for overriding",'Internal Systems'!#REF!=""),"Put justification for overriding!",'Internal Systems'!AB$12))</f>
        <v/>
      </c>
      <c r="D29" t="str">
        <f>IF(External!AB$13="",External!AB$11,IF(OR(External!#REF!="Put here justification for overriding",External!#REF!=""),"Put justification for overriding!",External!AB$13))</f>
        <v/>
      </c>
    </row>
    <row r="30" spans="1:4">
      <c r="A30" t="str">
        <f>IF('Internal People &amp; Staff'!AC$13="",'Internal People &amp; Staff'!AC$11,IF(OR('Internal People &amp; Staff'!#REF!="Put here justification for overriding",'Internal People &amp; Staff'!#REF!=""),"Put justification for overriding!",'Internal People &amp; Staff'!AC$13))</f>
        <v/>
      </c>
      <c r="B30" t="str">
        <f>IF(Processes!AC$12="",Processes!AC$10,IF(OR(Processes!#REF!="Put here justification for overriding",Processes!#REF!=""),"Put justification for overriding!",Processes!AC$12))</f>
        <v/>
      </c>
      <c r="C30" t="str">
        <f>IF('Internal Systems'!AC$12="",'Internal Systems'!AC$10,IF(OR('Internal Systems'!#REF!="Put here justification for overriding",'Internal Systems'!#REF!=""),"Put justification for overriding!",'Internal Systems'!AC$12))</f>
        <v/>
      </c>
      <c r="D30" t="str">
        <f>IF(External!AC$13="",External!AC$11,IF(OR(External!#REF!="Put here justification for overriding",External!#REF!=""),"Put justification for overriding!",External!AC$13))</f>
        <v/>
      </c>
    </row>
    <row r="31" spans="1:4">
      <c r="A31" t="str">
        <f>IF('Internal People &amp; Staff'!AD$13="",'Internal People &amp; Staff'!AD$11,IF(OR('Internal People &amp; Staff'!#REF!="Put here justification for overriding",'Internal People &amp; Staff'!#REF!=""),"Put justification for overriding!",'Internal People &amp; Staff'!AD$13))</f>
        <v/>
      </c>
      <c r="B31" t="str">
        <f>IF(Processes!AD$12="",Processes!AD$10,IF(OR(Processes!#REF!="Put here justification for overriding",Processes!#REF!=""),"Put justification for overriding!",Processes!AD$12))</f>
        <v/>
      </c>
      <c r="C31" t="str">
        <f>IF('Internal Systems'!AD$12="",'Internal Systems'!AD$10,IF(OR('Internal Systems'!#REF!="Put here justification for overriding",'Internal Systems'!#REF!=""),"Put justification for overriding!",'Internal Systems'!AD$12))</f>
        <v/>
      </c>
      <c r="D31" t="str">
        <f>IF(External!AD$13="",External!AD$11,IF(OR(External!#REF!="Put here justification for overriding",External!#REF!=""),"Put justification for overriding!",External!AD$13))</f>
        <v/>
      </c>
    </row>
    <row r="32" spans="1:4">
      <c r="A32" t="str">
        <f>IF('Internal People &amp; Staff'!AE$13="",'Internal People &amp; Staff'!AE$11,IF(OR('Internal People &amp; Staff'!#REF!="Put here justification for overriding",'Internal People &amp; Staff'!#REF!=""),"Put justification for overriding!",'Internal People &amp; Staff'!AE$13))</f>
        <v/>
      </c>
      <c r="B32" t="str">
        <f>IF(Processes!AE$12="",Processes!AE$10,IF(OR(Processes!#REF!="Put here justification for overriding",Processes!#REF!=""),"Put justification for overriding!",Processes!AE$12))</f>
        <v/>
      </c>
      <c r="C32" t="str">
        <f>IF('Internal Systems'!AE$12="",'Internal Systems'!AE$10,IF(OR('Internal Systems'!#REF!="Put here justification for overriding",'Internal Systems'!#REF!=""),"Put justification for overriding!",'Internal Systems'!AE$12))</f>
        <v/>
      </c>
      <c r="D32" t="str">
        <f>IF(External!AE$13="",External!AE$11,IF(OR(External!#REF!="Put here justification for overriding",External!#REF!=""),"Put justification for overriding!",External!AE$13))</f>
        <v/>
      </c>
    </row>
    <row r="33" spans="1:4">
      <c r="A33" t="str">
        <f>IF('Internal People &amp; Staff'!AF$13="",'Internal People &amp; Staff'!AF$11,IF(OR('Internal People &amp; Staff'!#REF!="Put here justification for overriding",'Internal People &amp; Staff'!#REF!=""),"Put justification for overriding!",'Internal People &amp; Staff'!AF$13))</f>
        <v/>
      </c>
      <c r="B33" t="str">
        <f>IF(Processes!AF$12="",Processes!AF$10,IF(OR(Processes!#REF!="Put here justification for overriding",Processes!#REF!=""),"Put justification for overriding!",Processes!AF$12))</f>
        <v/>
      </c>
      <c r="C33" t="str">
        <f>IF('Internal Systems'!AF$12="",'Internal Systems'!AF$10,IF(OR('Internal Systems'!#REF!="Put here justification for overriding",'Internal Systems'!#REF!=""),"Put justification for overriding!",'Internal Systems'!AF$12))</f>
        <v/>
      </c>
      <c r="D33" t="str">
        <f>IF(External!AF$13="",External!AF$11,IF(OR(External!#REF!="Put here justification for overriding",External!#REF!=""),"Put justification for overriding!",External!AF$13))</f>
        <v/>
      </c>
    </row>
    <row r="34" spans="1:4">
      <c r="A34" t="str">
        <f>IF('Internal People &amp; Staff'!AG$13="",'Internal People &amp; Staff'!AG$11,IF(OR('Internal People &amp; Staff'!#REF!="Put here justification for overriding",'Internal People &amp; Staff'!#REF!=""),"Put justification for overriding!",'Internal People &amp; Staff'!AG$13))</f>
        <v/>
      </c>
      <c r="B34" t="str">
        <f>IF(Processes!AG$12="",Processes!AG$10,IF(OR(Processes!#REF!="Put here justification for overriding",Processes!#REF!=""),"Put justification for overriding!",Processes!AG$12))</f>
        <v/>
      </c>
      <c r="C34" t="str">
        <f>IF('Internal Systems'!AG$12="",'Internal Systems'!AG$10,IF(OR('Internal Systems'!#REF!="Put here justification for overriding",'Internal Systems'!#REF!=""),"Put justification for overriding!",'Internal Systems'!AG$12))</f>
        <v/>
      </c>
      <c r="D34" t="str">
        <f>IF(External!AG$13="",External!AG$11,IF(OR(External!#REF!="Put here justification for overriding",External!#REF!=""),"Put justification for overriding!",External!AG$13))</f>
        <v/>
      </c>
    </row>
    <row r="35" spans="1:4">
      <c r="A35" t="str">
        <f>IF('Internal People &amp; Staff'!AH$13="",'Internal People &amp; Staff'!AH$11,IF(OR('Internal People &amp; Staff'!#REF!="Put here justification for overriding",'Internal People &amp; Staff'!#REF!=""),"Put justification for overriding!",'Internal People &amp; Staff'!AH$13))</f>
        <v/>
      </c>
      <c r="B35" t="str">
        <f>IF(Processes!AH$12="",Processes!AH$10,IF(OR(Processes!#REF!="Put here justification for overriding",Processes!#REF!=""),"Put justification for overriding!",Processes!AH$12))</f>
        <v/>
      </c>
      <c r="C35" t="str">
        <f>IF('Internal Systems'!AH$12="",'Internal Systems'!AH$10,IF(OR('Internal Systems'!AI$12="Put here justification for overriding",'Internal Systems'!AI$12=""),"Put justification for overriding!",'Internal Systems'!AH$12))</f>
        <v/>
      </c>
      <c r="D35" t="str">
        <f>IF(External!AH$13="",External!AH$11,IF(OR(External!#REF!="Put here justification for overriding",External!#REF!=""),"Put justification for overriding!",External!AH$13))</f>
        <v/>
      </c>
    </row>
  </sheetData>
  <pageMargins left="0.7" right="0.7" top="0.75" bottom="0.75" header="0.3" footer="0.3"/>
  <pageSetup paperSize="9" orientation="portrait" copies="0" r:id="rId1"/>
  <headerFooter>
    <oddFooter>&amp;C&amp;1#&amp;"Calibri"&amp;10&amp;K000000Confidential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FA9D5-F353-422F-B5D1-951EE5166B76}">
  <sheetPr codeName="Sheet4">
    <tabColor theme="6" tint="0.79998168889431442"/>
    <pageSetUpPr fitToPage="1"/>
  </sheetPr>
  <dimension ref="A1:AH20"/>
  <sheetViews>
    <sheetView showGridLines="0" zoomScale="55" zoomScaleNormal="55" workbookViewId="0">
      <pane xSplit="4" topLeftCell="E1" activePane="topRight" state="frozen"/>
      <selection pane="topRight" activeCell="H8" sqref="H8"/>
      <selection activeCell="B9" sqref="B9"/>
    </sheetView>
  </sheetViews>
  <sheetFormatPr defaultColWidth="8.7109375" defaultRowHeight="15"/>
  <cols>
    <col min="1" max="1" width="7.28515625" style="1" customWidth="1"/>
    <col min="2" max="2" width="24.5703125" style="1" customWidth="1"/>
    <col min="3" max="3" width="89.28515625" style="1" customWidth="1"/>
    <col min="4" max="4" width="98.42578125" style="1" customWidth="1"/>
    <col min="5" max="11" width="29" style="2" customWidth="1"/>
    <col min="12" max="13" width="29" style="2" hidden="1" customWidth="1"/>
    <col min="14" max="14" width="7.7109375" style="2" hidden="1" customWidth="1"/>
    <col min="15" max="18" width="9.28515625" style="2" hidden="1" customWidth="1"/>
    <col min="19" max="19" width="7.7109375" style="2" hidden="1" customWidth="1"/>
    <col min="20" max="23" width="9.28515625" style="2" hidden="1" customWidth="1"/>
    <col min="24" max="24" width="7.7109375" style="2" hidden="1" customWidth="1"/>
    <col min="25" max="28" width="9.28515625" style="2" hidden="1" customWidth="1"/>
    <col min="29" max="29" width="7.7109375" style="2" hidden="1" customWidth="1"/>
    <col min="30" max="31" width="9.28515625" style="2" hidden="1" customWidth="1"/>
    <col min="32" max="32" width="7.7109375" style="2" hidden="1" customWidth="1"/>
    <col min="33" max="33" width="10.28515625" style="2" hidden="1" customWidth="1"/>
    <col min="34" max="34" width="9.7109375" style="2" hidden="1" customWidth="1"/>
    <col min="35" max="35" width="64" style="1" customWidth="1"/>
    <col min="36" max="16384" width="8.7109375" style="1"/>
  </cols>
  <sheetData>
    <row r="1" spans="1:34" ht="23.25">
      <c r="A1" s="65" t="s">
        <v>156</v>
      </c>
      <c r="B1" s="59"/>
      <c r="E1" s="1"/>
      <c r="L1" s="1"/>
    </row>
    <row r="2" spans="1:34" ht="15.75" thickBot="1"/>
    <row r="3" spans="1:34" ht="43.5" customHeight="1" thickBot="1">
      <c r="B3" s="64" t="s">
        <v>12</v>
      </c>
      <c r="C3" s="10" t="str">
        <f>'Audit conclusion'!$D$3</f>
        <v>2025-045 Cyber and Information Security</v>
      </c>
      <c r="D3" s="4" t="s">
        <v>128</v>
      </c>
      <c r="E3" s="85" t="str">
        <f ca="1">'Internal People &amp; Staff'!E3</f>
        <v xml:space="preserve">AU-109-02-Cyber &amp; IS Strategy and Design </v>
      </c>
      <c r="F3" s="85" t="str">
        <f ca="1">'Internal People &amp; Staff'!F3</f>
        <v>AU-109-08-ICT Incident Management</v>
      </c>
      <c r="G3" s="85" t="str">
        <f ca="1">'Internal People &amp; Staff'!G3</f>
        <v>AU-109-09-Cyber &amp; IS Prevention</v>
      </c>
      <c r="H3" s="85" t="str">
        <f ca="1">'Internal People &amp; Staff'!H3</f>
        <v>AU-109-10-Cyber &amp; IS Detection</v>
      </c>
      <c r="I3" s="85" t="str">
        <f ca="1">'Internal People &amp; Staff'!I3</f>
        <v>AU-109-11-Cyber &amp; IS Control functions (2LoD)</v>
      </c>
      <c r="J3" s="85" t="str">
        <f ca="1">'Internal People &amp; Staff'!J3</f>
        <v>AU-109-12-Threat Intelligence</v>
      </c>
      <c r="K3" s="85" t="str">
        <f ca="1">'Internal People &amp; Staff'!K3</f>
        <v>AU-121-04-CSDR Cyber &amp; IS</v>
      </c>
      <c r="L3" s="85">
        <f ca="1">'Internal People &amp; Staff'!L3</f>
        <v>0</v>
      </c>
      <c r="M3" s="85">
        <f ca="1">'Internal People &amp; Staff'!M3</f>
        <v>0</v>
      </c>
      <c r="N3" s="85">
        <f ca="1">'Internal People &amp; Staff'!N3</f>
        <v>0</v>
      </c>
      <c r="O3" s="85">
        <f ca="1">'Internal People &amp; Staff'!O3</f>
        <v>0</v>
      </c>
      <c r="P3" s="85">
        <f ca="1">'Internal People &amp; Staff'!P3</f>
        <v>0</v>
      </c>
      <c r="Q3" s="85">
        <f ca="1">'Internal People &amp; Staff'!Q3</f>
        <v>0</v>
      </c>
      <c r="R3" s="85">
        <f ca="1">'Internal People &amp; Staff'!R3</f>
        <v>0</v>
      </c>
      <c r="S3" s="85">
        <f ca="1">'Internal People &amp; Staff'!S3</f>
        <v>0</v>
      </c>
      <c r="T3" s="85">
        <f ca="1">'Internal People &amp; Staff'!T3</f>
        <v>0</v>
      </c>
      <c r="U3" s="85">
        <f ca="1">'Internal People &amp; Staff'!U3</f>
        <v>0</v>
      </c>
      <c r="V3" s="85">
        <f ca="1">'Internal People &amp; Staff'!V3</f>
        <v>0</v>
      </c>
      <c r="W3" s="85">
        <f ca="1">'Internal People &amp; Staff'!W3</f>
        <v>0</v>
      </c>
      <c r="X3" s="85">
        <f ca="1">'Internal People &amp; Staff'!X3</f>
        <v>0</v>
      </c>
      <c r="Y3" s="85">
        <f ca="1">'Internal People &amp; Staff'!Y3</f>
        <v>0</v>
      </c>
      <c r="Z3" s="85">
        <f ca="1">'Internal People &amp; Staff'!Z3</f>
        <v>0</v>
      </c>
      <c r="AA3" s="85">
        <f ca="1">'Internal People &amp; Staff'!AA3</f>
        <v>0</v>
      </c>
      <c r="AB3" s="85">
        <f ca="1">'Internal People &amp; Staff'!AB3</f>
        <v>0</v>
      </c>
      <c r="AC3" s="85">
        <f ca="1">'Internal People &amp; Staff'!AC3</f>
        <v>0</v>
      </c>
      <c r="AD3" s="85">
        <f ca="1">'Internal People &amp; Staff'!AD3</f>
        <v>0</v>
      </c>
      <c r="AE3" s="85">
        <f ca="1">'Internal People &amp; Staff'!AE3</f>
        <v>0</v>
      </c>
      <c r="AF3" s="85">
        <f ca="1">'Internal People &amp; Staff'!AF3</f>
        <v>0</v>
      </c>
      <c r="AG3" s="85">
        <f ca="1">'Internal People &amp; Staff'!AG3</f>
        <v>0</v>
      </c>
      <c r="AH3" s="85">
        <f ca="1">'Internal People &amp; Staff'!AH3</f>
        <v>0</v>
      </c>
    </row>
    <row r="4" spans="1:34" s="91" customFormat="1" ht="42" customHeight="1" thickTop="1" thickBot="1">
      <c r="A4" s="157" t="s">
        <v>129</v>
      </c>
      <c r="B4" s="158"/>
      <c r="C4" s="88"/>
      <c r="D4" s="88"/>
      <c r="E4" s="89" t="s">
        <v>130</v>
      </c>
      <c r="F4" s="89" t="s">
        <v>130</v>
      </c>
      <c r="G4" s="89" t="s">
        <v>130</v>
      </c>
      <c r="H4" s="89" t="s">
        <v>130</v>
      </c>
      <c r="I4" s="89" t="s">
        <v>130</v>
      </c>
      <c r="J4" s="89" t="s">
        <v>130</v>
      </c>
      <c r="K4" s="89" t="s">
        <v>130</v>
      </c>
      <c r="L4" s="89" t="s">
        <v>130</v>
      </c>
      <c r="M4" s="89" t="s">
        <v>130</v>
      </c>
      <c r="N4" s="89" t="s">
        <v>130</v>
      </c>
      <c r="O4" s="89" t="s">
        <v>130</v>
      </c>
      <c r="P4" s="89" t="s">
        <v>130</v>
      </c>
      <c r="Q4" s="89" t="s">
        <v>130</v>
      </c>
      <c r="R4" s="89" t="s">
        <v>130</v>
      </c>
      <c r="S4" s="89" t="s">
        <v>130</v>
      </c>
      <c r="T4" s="89" t="s">
        <v>130</v>
      </c>
      <c r="U4" s="89" t="s">
        <v>130</v>
      </c>
      <c r="V4" s="89" t="s">
        <v>130</v>
      </c>
      <c r="W4" s="89" t="s">
        <v>130</v>
      </c>
      <c r="X4" s="89" t="s">
        <v>130</v>
      </c>
      <c r="Y4" s="89" t="s">
        <v>130</v>
      </c>
      <c r="Z4" s="89" t="s">
        <v>130</v>
      </c>
      <c r="AA4" s="89" t="s">
        <v>130</v>
      </c>
      <c r="AB4" s="89" t="s">
        <v>130</v>
      </c>
      <c r="AC4" s="89" t="s">
        <v>130</v>
      </c>
      <c r="AD4" s="89" t="s">
        <v>130</v>
      </c>
      <c r="AE4" s="89" t="s">
        <v>130</v>
      </c>
      <c r="AF4" s="89" t="s">
        <v>130</v>
      </c>
      <c r="AG4" s="89" t="s">
        <v>130</v>
      </c>
      <c r="AH4" s="89" t="s">
        <v>130</v>
      </c>
    </row>
    <row r="5" spans="1:34" ht="115.5" customHeight="1" thickTop="1" thickBot="1">
      <c r="A5" s="78">
        <v>1</v>
      </c>
      <c r="B5" s="77" t="s">
        <v>157</v>
      </c>
      <c r="C5" s="77" t="s">
        <v>158</v>
      </c>
      <c r="D5" s="77" t="s">
        <v>159</v>
      </c>
      <c r="E5" s="8">
        <v>2</v>
      </c>
      <c r="F5" s="8">
        <v>3</v>
      </c>
      <c r="G5" s="8">
        <v>2</v>
      </c>
      <c r="H5" s="8">
        <v>2</v>
      </c>
      <c r="I5" s="42">
        <v>2</v>
      </c>
      <c r="J5" s="42">
        <v>2</v>
      </c>
      <c r="K5" s="42" t="s">
        <v>9</v>
      </c>
      <c r="L5" s="8">
        <v>2</v>
      </c>
      <c r="M5" s="8"/>
      <c r="N5" s="42"/>
      <c r="O5" s="42"/>
      <c r="P5" s="42"/>
      <c r="Q5" s="42"/>
      <c r="R5" s="42"/>
      <c r="S5" s="42"/>
      <c r="T5" s="42"/>
      <c r="U5" s="42"/>
      <c r="V5" s="42"/>
      <c r="W5" s="42"/>
      <c r="X5" s="42"/>
      <c r="Y5" s="42"/>
      <c r="Z5" s="42"/>
      <c r="AA5" s="42"/>
      <c r="AB5" s="42"/>
      <c r="AC5" s="42"/>
      <c r="AD5" s="42"/>
      <c r="AE5" s="42"/>
      <c r="AF5" s="42"/>
      <c r="AG5" s="42"/>
      <c r="AH5" s="42"/>
    </row>
    <row r="6" spans="1:34" ht="168.75" customHeight="1" thickTop="1" thickBot="1">
      <c r="A6" s="78">
        <v>2</v>
      </c>
      <c r="B6" s="77" t="s">
        <v>160</v>
      </c>
      <c r="C6" s="77" t="s">
        <v>161</v>
      </c>
      <c r="D6" s="77" t="s">
        <v>162</v>
      </c>
      <c r="E6" s="8">
        <v>2</v>
      </c>
      <c r="F6" s="8">
        <v>3</v>
      </c>
      <c r="G6" s="8">
        <v>3</v>
      </c>
      <c r="H6" s="8">
        <v>3</v>
      </c>
      <c r="I6" s="42">
        <v>2</v>
      </c>
      <c r="J6" s="42">
        <v>1</v>
      </c>
      <c r="K6" s="42" t="s">
        <v>9</v>
      </c>
      <c r="L6" s="8">
        <v>3</v>
      </c>
      <c r="M6" s="8"/>
      <c r="N6" s="42"/>
      <c r="O6" s="42"/>
      <c r="P6" s="42"/>
      <c r="Q6" s="42"/>
      <c r="R6" s="42"/>
      <c r="S6" s="42"/>
      <c r="T6" s="42"/>
      <c r="U6" s="42"/>
      <c r="V6" s="42"/>
      <c r="W6" s="42"/>
      <c r="X6" s="42"/>
      <c r="Y6" s="42"/>
      <c r="Z6" s="42"/>
      <c r="AA6" s="42"/>
      <c r="AB6" s="42"/>
      <c r="AC6" s="42"/>
      <c r="AD6" s="42"/>
      <c r="AE6" s="42"/>
      <c r="AF6" s="42"/>
      <c r="AG6" s="42"/>
      <c r="AH6" s="42"/>
    </row>
    <row r="7" spans="1:34" s="6" customFormat="1" ht="249.95" customHeight="1" thickTop="1" thickBot="1">
      <c r="A7" s="78">
        <v>3</v>
      </c>
      <c r="B7" s="77" t="s">
        <v>163</v>
      </c>
      <c r="C7" s="77" t="s">
        <v>164</v>
      </c>
      <c r="D7" s="77" t="s">
        <v>165</v>
      </c>
      <c r="E7" s="8">
        <v>3</v>
      </c>
      <c r="F7" s="8">
        <v>2</v>
      </c>
      <c r="G7" s="8">
        <v>3</v>
      </c>
      <c r="H7" s="8">
        <v>3</v>
      </c>
      <c r="I7" s="42">
        <v>2</v>
      </c>
      <c r="J7" s="42">
        <v>2</v>
      </c>
      <c r="K7" s="42" t="s">
        <v>9</v>
      </c>
      <c r="L7" s="8">
        <v>3</v>
      </c>
      <c r="M7" s="8"/>
      <c r="N7" s="42"/>
      <c r="O7" s="42"/>
      <c r="P7" s="42"/>
      <c r="Q7" s="42"/>
      <c r="R7" s="42"/>
      <c r="S7" s="42"/>
      <c r="T7" s="42"/>
      <c r="U7" s="42"/>
      <c r="V7" s="42"/>
      <c r="W7" s="42"/>
      <c r="X7" s="42"/>
      <c r="Y7" s="42"/>
      <c r="Z7" s="42"/>
      <c r="AA7" s="42"/>
      <c r="AB7" s="42"/>
      <c r="AC7" s="42"/>
      <c r="AD7" s="42"/>
      <c r="AE7" s="42"/>
      <c r="AF7" s="42"/>
      <c r="AG7" s="42"/>
      <c r="AH7" s="42"/>
    </row>
    <row r="8" spans="1:34" ht="252" customHeight="1" thickTop="1" thickBot="1">
      <c r="A8" s="78">
        <v>4</v>
      </c>
      <c r="B8" s="77" t="s">
        <v>166</v>
      </c>
      <c r="C8" s="77" t="s">
        <v>167</v>
      </c>
      <c r="D8" s="77" t="s">
        <v>168</v>
      </c>
      <c r="E8" s="8">
        <v>2</v>
      </c>
      <c r="F8" s="8">
        <v>3</v>
      </c>
      <c r="G8" s="8">
        <v>3</v>
      </c>
      <c r="H8" s="8">
        <v>3</v>
      </c>
      <c r="I8" s="42">
        <v>2</v>
      </c>
      <c r="J8" s="42">
        <v>2</v>
      </c>
      <c r="K8" s="42" t="s">
        <v>9</v>
      </c>
      <c r="L8" s="8">
        <v>2</v>
      </c>
      <c r="M8" s="8"/>
      <c r="N8" s="42"/>
      <c r="O8" s="42"/>
      <c r="P8" s="42"/>
      <c r="Q8" s="42"/>
      <c r="R8" s="42"/>
      <c r="S8" s="42"/>
      <c r="T8" s="42"/>
      <c r="U8" s="42"/>
      <c r="V8" s="42"/>
      <c r="W8" s="42"/>
      <c r="X8" s="42"/>
      <c r="Y8" s="42"/>
      <c r="Z8" s="42"/>
      <c r="AA8" s="42"/>
      <c r="AB8" s="42"/>
      <c r="AC8" s="42"/>
      <c r="AD8" s="42"/>
      <c r="AE8" s="42"/>
      <c r="AF8" s="42"/>
      <c r="AG8" s="42"/>
      <c r="AH8" s="42"/>
    </row>
    <row r="9" spans="1:34" ht="24.75" thickTop="1" thickBot="1">
      <c r="A9" s="60"/>
      <c r="B9" s="60"/>
      <c r="C9" s="61" t="s">
        <v>146</v>
      </c>
      <c r="D9" s="62"/>
      <c r="E9" s="45">
        <f>IFERROR(IF(COUNTBLANK(E4:E8)&gt;0,"",SUM(E4:E8)/COUNTIF(E4:E8,"&gt;=0")),"")</f>
        <v>2.25</v>
      </c>
      <c r="F9" s="12">
        <f t="shared" ref="F9" si="0">IFERROR(IF(COUNTBLANK(F5:F8)&gt;0,"",(SUM(F5:F8)/COUNTIF(F5:F8,"&gt;=0"))),"")</f>
        <v>2.75</v>
      </c>
      <c r="G9" s="12">
        <f t="shared" ref="G9" si="1">IFERROR(IF(COUNTBLANK(G5:G8)&gt;0,"",(SUM(G5:G8)/COUNTIF(G5:G8,"&gt;=0"))),"")</f>
        <v>2.75</v>
      </c>
      <c r="H9" s="12">
        <f t="shared" ref="H9" si="2">IFERROR(IF(COUNTBLANK(H5:H8)&gt;0,"",(SUM(H5:H8)/COUNTIF(H5:H8,"&gt;=0"))),"")</f>
        <v>2.75</v>
      </c>
      <c r="I9" s="12">
        <f t="shared" ref="I9" si="3">IFERROR(IF(COUNTBLANK(I5:I8)&gt;0,"",(SUM(I5:I8)/COUNTIF(I5:I8,"&gt;=0"))),"")</f>
        <v>2</v>
      </c>
      <c r="J9" s="12">
        <f t="shared" ref="J9" si="4">IFERROR(IF(COUNTBLANK(J5:J8)&gt;0,"",(SUM(J5:J8)/COUNTIF(J5:J8,"&gt;=0"))),"")</f>
        <v>1.75</v>
      </c>
      <c r="K9" s="12" t="str">
        <f t="shared" ref="K9" si="5">IFERROR(IF(COUNTBLANK(K5:K8)&gt;0,"",(SUM(K5:K8)/COUNTIF(K5:K8,"&gt;=0"))),"")</f>
        <v/>
      </c>
      <c r="L9" s="45">
        <f>IFERROR(IF(COUNTBLANK(L4:L8)&gt;0,"",SUM(L4:L8)/COUNTIF(L4:L8,"&gt;=0")),"")</f>
        <v>2.5</v>
      </c>
      <c r="M9" s="12" t="str">
        <f t="shared" ref="M9" si="6">IFERROR(IF(COUNTBLANK(M5:M8)&gt;0,"",(SUM(M5:M8)/COUNTIF(M5:M8,"&gt;=0"))),"")</f>
        <v/>
      </c>
      <c r="N9" s="12" t="str">
        <f t="shared" ref="N9" si="7">IFERROR(IF(COUNTBLANK(N5:N8)&gt;0,"",(SUM(N5:N8)/COUNTIF(N5:N8,"&gt;=0"))),"")</f>
        <v/>
      </c>
      <c r="O9" s="12" t="str">
        <f t="shared" ref="O9" si="8">IFERROR(IF(COUNTBLANK(O5:O8)&gt;0,"",(SUM(O5:O8)/COUNTIF(O5:O8,"&gt;=0"))),"")</f>
        <v/>
      </c>
      <c r="P9" s="12" t="str">
        <f t="shared" ref="P9" si="9">IFERROR(IF(COUNTBLANK(P5:P8)&gt;0,"",(SUM(P5:P8)/COUNTIF(P5:P8,"&gt;=0"))),"")</f>
        <v/>
      </c>
      <c r="Q9" s="12" t="str">
        <f t="shared" ref="Q9" si="10">IFERROR(IF(COUNTBLANK(Q5:Q8)&gt;0,"",(SUM(Q5:Q8)/COUNTIF(Q5:Q8,"&gt;=0"))),"")</f>
        <v/>
      </c>
      <c r="R9" s="12" t="str">
        <f t="shared" ref="R9" si="11">IFERROR(IF(COUNTBLANK(R5:R8)&gt;0,"",(SUM(R5:R8)/COUNTIF(R5:R8,"&gt;=0"))),"")</f>
        <v/>
      </c>
      <c r="S9" s="12" t="str">
        <f t="shared" ref="S9" si="12">IFERROR(IF(COUNTBLANK(S5:S8)&gt;0,"",(SUM(S5:S8)/COUNTIF(S5:S8,"&gt;=0"))),"")</f>
        <v/>
      </c>
      <c r="T9" s="12" t="str">
        <f t="shared" ref="T9" si="13">IFERROR(IF(COUNTBLANK(T5:T8)&gt;0,"",(SUM(T5:T8)/COUNTIF(T5:T8,"&gt;=0"))),"")</f>
        <v/>
      </c>
      <c r="U9" s="12" t="str">
        <f t="shared" ref="U9" si="14">IFERROR(IF(COUNTBLANK(U5:U8)&gt;0,"",(SUM(U5:U8)/COUNTIF(U5:U8,"&gt;=0"))),"")</f>
        <v/>
      </c>
      <c r="V9" s="12" t="str">
        <f t="shared" ref="V9" si="15">IFERROR(IF(COUNTBLANK(V5:V8)&gt;0,"",(SUM(V5:V8)/COUNTIF(V5:V8,"&gt;=0"))),"")</f>
        <v/>
      </c>
      <c r="W9" s="12" t="str">
        <f t="shared" ref="W9" si="16">IFERROR(IF(COUNTBLANK(W5:W8)&gt;0,"",(SUM(W5:W8)/COUNTIF(W5:W8,"&gt;=0"))),"")</f>
        <v/>
      </c>
      <c r="X9" s="12" t="str">
        <f t="shared" ref="X9" si="17">IFERROR(IF(COUNTBLANK(X5:X8)&gt;0,"",(SUM(X5:X8)/COUNTIF(X5:X8,"&gt;=0"))),"")</f>
        <v/>
      </c>
      <c r="Y9" s="12" t="str">
        <f t="shared" ref="Y9" si="18">IFERROR(IF(COUNTBLANK(Y5:Y8)&gt;0,"",(SUM(Y5:Y8)/COUNTIF(Y5:Y8,"&gt;=0"))),"")</f>
        <v/>
      </c>
      <c r="Z9" s="12" t="str">
        <f t="shared" ref="Z9" si="19">IFERROR(IF(COUNTBLANK(Z5:Z8)&gt;0,"",(SUM(Z5:Z8)/COUNTIF(Z5:Z8,"&gt;=0"))),"")</f>
        <v/>
      </c>
      <c r="AA9" s="12" t="str">
        <f t="shared" ref="AA9" si="20">IFERROR(IF(COUNTBLANK(AA5:AA8)&gt;0,"",(SUM(AA5:AA8)/COUNTIF(AA5:AA8,"&gt;=0"))),"")</f>
        <v/>
      </c>
      <c r="AB9" s="12" t="str">
        <f t="shared" ref="AB9" si="21">IFERROR(IF(COUNTBLANK(AB5:AB8)&gt;0,"",(SUM(AB5:AB8)/COUNTIF(AB5:AB8,"&gt;=0"))),"")</f>
        <v/>
      </c>
      <c r="AC9" s="12" t="str">
        <f t="shared" ref="AC9" si="22">IFERROR(IF(COUNTBLANK(AC5:AC8)&gt;0,"",(SUM(AC5:AC8)/COUNTIF(AC5:AC8,"&gt;=0"))),"")</f>
        <v/>
      </c>
      <c r="AD9" s="12" t="str">
        <f t="shared" ref="AD9" si="23">IFERROR(IF(COUNTBLANK(AD5:AD8)&gt;0,"",(SUM(AD5:AD8)/COUNTIF(AD5:AD8,"&gt;=0"))),"")</f>
        <v/>
      </c>
      <c r="AE9" s="12" t="str">
        <f t="shared" ref="AE9" si="24">IFERROR(IF(COUNTBLANK(AE5:AE8)&gt;0,"",(SUM(AE5:AE8)/COUNTIF(AE5:AE8,"&gt;=0"))),"")</f>
        <v/>
      </c>
      <c r="AF9" s="12" t="str">
        <f t="shared" ref="AF9" si="25">IFERROR(IF(COUNTBLANK(AF5:AF8)&gt;0,"",(SUM(AF5:AF8)/COUNTIF(AF5:AF8,"&gt;=0"))),"")</f>
        <v/>
      </c>
      <c r="AG9" s="12" t="str">
        <f t="shared" ref="AG9" si="26">IFERROR(IF(COUNTBLANK(AG5:AG8)&gt;0,"",(SUM(AG5:AG8)/COUNTIF(AG5:AG8,"&gt;=0"))),"")</f>
        <v/>
      </c>
      <c r="AH9" s="12" t="str">
        <f t="shared" ref="AH9" si="27">IFERROR(IF(COUNTBLANK(AH5:AH8)&gt;0,"",(SUM(AH5:AH8)/COUNTIF(AH5:AH8,"&gt;=0"))),"")</f>
        <v/>
      </c>
    </row>
    <row r="10" spans="1:34" ht="48" thickTop="1" thickBot="1">
      <c r="A10" s="60"/>
      <c r="B10" s="60"/>
      <c r="C10" s="54" t="s">
        <v>147</v>
      </c>
      <c r="D10" s="63"/>
      <c r="E10" s="5" t="str">
        <f>IF(E9="","",IF(E9&lt;1.4,"Low",(IF(AND(E9&gt;=1.4,E9&lt;2.4),"Medium",(IF((AND(E9&gt;=2.4)),"High"))))))</f>
        <v>Medium</v>
      </c>
      <c r="F10" s="5" t="str">
        <f t="shared" ref="F10" si="28">IF(F9="","",IF(F9&lt;1.4,"Low",(IF(AND(F9&gt;=1.4,F9&lt;2.4),"Medium",(IF((AND(F9&gt;=2.4)),"High"))))))</f>
        <v>High</v>
      </c>
      <c r="G10" s="5" t="str">
        <f t="shared" ref="G10" si="29">IF(G9="","",IF(G9&lt;1.4,"Low",(IF(AND(G9&gt;=1.4,G9&lt;2.4),"Medium",(IF((AND(G9&gt;=2.4)),"High"))))))</f>
        <v>High</v>
      </c>
      <c r="H10" s="5" t="str">
        <f t="shared" ref="H10" si="30">IF(H9="","",IF(H9&lt;1.4,"Low",(IF(AND(H9&gt;=1.4,H9&lt;2.4),"Medium",(IF((AND(H9&gt;=2.4)),"High"))))))</f>
        <v>High</v>
      </c>
      <c r="I10" s="5" t="str">
        <f t="shared" ref="I10" si="31">IF(I9="","",IF(I9&lt;1.4,"Low",(IF(AND(I9&gt;=1.4,I9&lt;2.4),"Medium",(IF((AND(I9&gt;=2.4)),"High"))))))</f>
        <v>Medium</v>
      </c>
      <c r="J10" s="5" t="str">
        <f t="shared" ref="J10" si="32">IF(J9="","",IF(J9&lt;1.4,"Low",(IF(AND(J9&gt;=1.4,J9&lt;2.4),"Medium",(IF((AND(J9&gt;=2.4)),"High"))))))</f>
        <v>Medium</v>
      </c>
      <c r="K10" s="5" t="str">
        <f t="shared" ref="K10" si="33">IF(K9="","",IF(K9&lt;1.4,"Low",(IF(AND(K9&gt;=1.4,K9&lt;2.4),"Medium",(IF((AND(K9&gt;=2.4)),"High"))))))</f>
        <v/>
      </c>
      <c r="L10" s="5" t="str">
        <f>IF(L9="","",IF(L9&lt;1.4,"Low",(IF(AND(L9&gt;=1.4,L9&lt;2.4),"Medium",(IF((AND(L9&gt;=2.4)),"High"))))))</f>
        <v>High</v>
      </c>
      <c r="M10" s="5" t="str">
        <f t="shared" ref="M10" si="34">IF(M9="","",IF(M9&lt;1.4,"Low",(IF(AND(M9&gt;=1.4,M9&lt;2.4),"Medium",(IF((AND(M9&gt;=2.4)),"High"))))))</f>
        <v/>
      </c>
      <c r="N10" s="5" t="str">
        <f t="shared" ref="N10" si="35">IF(N9="","",IF(N9&lt;1.4,"Low",(IF(AND(N9&gt;=1.4,N9&lt;2.4),"Medium",(IF((AND(N9&gt;=2.4)),"High"))))))</f>
        <v/>
      </c>
      <c r="O10" s="5" t="str">
        <f t="shared" ref="O10" si="36">IF(O9="","",IF(O9&lt;1.4,"Low",(IF(AND(O9&gt;=1.4,O9&lt;2.4),"Medium",(IF((AND(O9&gt;=2.4)),"High"))))))</f>
        <v/>
      </c>
      <c r="P10" s="5" t="str">
        <f t="shared" ref="P10" si="37">IF(P9="","",IF(P9&lt;1.4,"Low",(IF(AND(P9&gt;=1.4,P9&lt;2.4),"Medium",(IF((AND(P9&gt;=2.4)),"High"))))))</f>
        <v/>
      </c>
      <c r="Q10" s="5" t="str">
        <f t="shared" ref="Q10" si="38">IF(Q9="","",IF(Q9&lt;1.4,"Low",(IF(AND(Q9&gt;=1.4,Q9&lt;2.4),"Medium",(IF((AND(Q9&gt;=2.4)),"High"))))))</f>
        <v/>
      </c>
      <c r="R10" s="5" t="str">
        <f t="shared" ref="R10" si="39">IF(R9="","",IF(R9&lt;1.4,"Low",(IF(AND(R9&gt;=1.4,R9&lt;2.4),"Medium",(IF((AND(R9&gt;=2.4)),"High"))))))</f>
        <v/>
      </c>
      <c r="S10" s="5" t="str">
        <f t="shared" ref="S10" si="40">IF(S9="","",IF(S9&lt;1.4,"Low",(IF(AND(S9&gt;=1.4,S9&lt;2.4),"Medium",(IF((AND(S9&gt;=2.4)),"High"))))))</f>
        <v/>
      </c>
      <c r="T10" s="5" t="str">
        <f t="shared" ref="T10" si="41">IF(T9="","",IF(T9&lt;1.4,"Low",(IF(AND(T9&gt;=1.4,T9&lt;2.4),"Medium",(IF((AND(T9&gt;=2.4)),"High"))))))</f>
        <v/>
      </c>
      <c r="U10" s="5" t="str">
        <f t="shared" ref="U10" si="42">IF(U9="","",IF(U9&lt;1.4,"Low",(IF(AND(U9&gt;=1.4,U9&lt;2.4),"Medium",(IF((AND(U9&gt;=2.4)),"High"))))))</f>
        <v/>
      </c>
      <c r="V10" s="5" t="str">
        <f t="shared" ref="V10" si="43">IF(V9="","",IF(V9&lt;1.4,"Low",(IF(AND(V9&gt;=1.4,V9&lt;2.4),"Medium",(IF((AND(V9&gt;=2.4)),"High"))))))</f>
        <v/>
      </c>
      <c r="W10" s="5" t="str">
        <f t="shared" ref="W10" si="44">IF(W9="","",IF(W9&lt;1.4,"Low",(IF(AND(W9&gt;=1.4,W9&lt;2.4),"Medium",(IF((AND(W9&gt;=2.4)),"High"))))))</f>
        <v/>
      </c>
      <c r="X10" s="5" t="str">
        <f t="shared" ref="X10" si="45">IF(X9="","",IF(X9&lt;1.4,"Low",(IF(AND(X9&gt;=1.4,X9&lt;2.4),"Medium",(IF((AND(X9&gt;=2.4)),"High"))))))</f>
        <v/>
      </c>
      <c r="Y10" s="5" t="str">
        <f t="shared" ref="Y10" si="46">IF(Y9="","",IF(Y9&lt;1.4,"Low",(IF(AND(Y9&gt;=1.4,Y9&lt;2.4),"Medium",(IF((AND(Y9&gt;=2.4)),"High"))))))</f>
        <v/>
      </c>
      <c r="Z10" s="5" t="str">
        <f t="shared" ref="Z10" si="47">IF(Z9="","",IF(Z9&lt;1.4,"Low",(IF(AND(Z9&gt;=1.4,Z9&lt;2.4),"Medium",(IF((AND(Z9&gt;=2.4)),"High"))))))</f>
        <v/>
      </c>
      <c r="AA10" s="5" t="str">
        <f t="shared" ref="AA10" si="48">IF(AA9="","",IF(AA9&lt;1.4,"Low",(IF(AND(AA9&gt;=1.4,AA9&lt;2.4),"Medium",(IF((AND(AA9&gt;=2.4)),"High"))))))</f>
        <v/>
      </c>
      <c r="AB10" s="5" t="str">
        <f t="shared" ref="AB10" si="49">IF(AB9="","",IF(AB9&lt;1.4,"Low",(IF(AND(AB9&gt;=1.4,AB9&lt;2.4),"Medium",(IF((AND(AB9&gt;=2.4)),"High"))))))</f>
        <v/>
      </c>
      <c r="AC10" s="5" t="str">
        <f t="shared" ref="AC10" si="50">IF(AC9="","",IF(AC9&lt;1.4,"Low",(IF(AND(AC9&gt;=1.4,AC9&lt;2.4),"Medium",(IF((AND(AC9&gt;=2.4)),"High"))))))</f>
        <v/>
      </c>
      <c r="AD10" s="5" t="str">
        <f t="shared" ref="AD10" si="51">IF(AD9="","",IF(AD9&lt;1.4,"Low",(IF(AND(AD9&gt;=1.4,AD9&lt;2.4),"Medium",(IF((AND(AD9&gt;=2.4)),"High"))))))</f>
        <v/>
      </c>
      <c r="AE10" s="5" t="str">
        <f t="shared" ref="AE10" si="52">IF(AE9="","",IF(AE9&lt;1.4,"Low",(IF(AND(AE9&gt;=1.4,AE9&lt;2.4),"Medium",(IF((AND(AE9&gt;=2.4)),"High"))))))</f>
        <v/>
      </c>
      <c r="AF10" s="5" t="str">
        <f t="shared" ref="AF10" si="53">IF(AF9="","",IF(AF9&lt;1.4,"Low",(IF(AND(AF9&gt;=1.4,AF9&lt;2.4),"Medium",(IF((AND(AF9&gt;=2.4)),"High"))))))</f>
        <v/>
      </c>
      <c r="AG10" s="5" t="str">
        <f t="shared" ref="AG10" si="54">IF(AG9="","",IF(AG9&lt;1.4,"Low",(IF(AND(AG9&gt;=1.4,AG9&lt;2.4),"Medium",(IF((AND(AG9&gt;=2.4)),"High"))))))</f>
        <v/>
      </c>
      <c r="AH10" s="5" t="str">
        <f t="shared" ref="AH10" si="55">IF(AH9="","",IF(AH9&lt;1.4,"Low",(IF(AND(AH9&gt;=1.4,AH9&lt;2.4),"Medium",(IF((AND(AH9&gt;=2.4)),"High"))))))</f>
        <v/>
      </c>
    </row>
    <row r="11" spans="1:34" ht="24" thickBot="1">
      <c r="A11" s="60"/>
      <c r="B11" s="60"/>
      <c r="C11" s="60"/>
      <c r="D11" s="60"/>
    </row>
    <row r="12" spans="1:34" ht="23.25">
      <c r="A12" s="60"/>
      <c r="B12" s="60"/>
      <c r="C12" s="155" t="s">
        <v>148</v>
      </c>
      <c r="D12" s="156"/>
      <c r="E12" s="5"/>
      <c r="F12" s="5" t="s">
        <v>5</v>
      </c>
      <c r="G12" s="5"/>
      <c r="H12" s="5"/>
      <c r="I12" s="5"/>
      <c r="J12" s="5"/>
      <c r="K12" s="5"/>
      <c r="L12" s="5" t="s">
        <v>7</v>
      </c>
      <c r="M12" s="5"/>
      <c r="N12" s="5"/>
      <c r="O12" s="5"/>
      <c r="P12" s="5"/>
      <c r="Q12" s="5"/>
      <c r="R12" s="5"/>
      <c r="S12" s="5"/>
      <c r="T12" s="5"/>
      <c r="U12" s="5"/>
      <c r="V12" s="5"/>
      <c r="W12" s="5"/>
      <c r="X12" s="5"/>
      <c r="Y12" s="5"/>
      <c r="Z12" s="5"/>
      <c r="AA12" s="5"/>
      <c r="AB12" s="5"/>
      <c r="AC12" s="5"/>
      <c r="AD12" s="5"/>
      <c r="AE12" s="5"/>
      <c r="AF12" s="5"/>
      <c r="AG12" s="5"/>
      <c r="AH12" s="5"/>
    </row>
    <row r="13" spans="1:34" ht="255.75" thickTop="1" thickBot="1">
      <c r="A13" s="48"/>
      <c r="B13" s="48"/>
      <c r="C13"/>
      <c r="D13" s="97" t="s">
        <v>149</v>
      </c>
      <c r="E13" s="96" t="str">
        <f>IF(E12&gt;0,"Add justification","")</f>
        <v/>
      </c>
      <c r="F13" s="96" t="s">
        <v>154</v>
      </c>
      <c r="G13" s="96" t="str">
        <f t="shared" ref="G13:AH13" si="56">IF(G12&gt;0,"Add justification","")</f>
        <v/>
      </c>
      <c r="H13" s="96" t="str">
        <f t="shared" si="56"/>
        <v/>
      </c>
      <c r="I13" s="96"/>
      <c r="J13" s="96" t="str">
        <f t="shared" si="56"/>
        <v/>
      </c>
      <c r="K13" s="96"/>
      <c r="L13" s="96" t="str">
        <f>IF(L12&gt;0,"Add justification","")</f>
        <v>Add justification</v>
      </c>
      <c r="M13" s="96" t="str">
        <f t="shared" ref="M13" si="57">IF(M12&gt;0,"Add justification","")</f>
        <v/>
      </c>
      <c r="N13" s="96" t="str">
        <f t="shared" si="56"/>
        <v/>
      </c>
      <c r="O13" s="96" t="str">
        <f t="shared" si="56"/>
        <v/>
      </c>
      <c r="P13" s="96" t="str">
        <f t="shared" si="56"/>
        <v/>
      </c>
      <c r="Q13" s="96" t="str">
        <f t="shared" si="56"/>
        <v/>
      </c>
      <c r="R13" s="96" t="str">
        <f t="shared" si="56"/>
        <v/>
      </c>
      <c r="S13" s="96" t="str">
        <f t="shared" si="56"/>
        <v/>
      </c>
      <c r="T13" s="96" t="str">
        <f t="shared" si="56"/>
        <v/>
      </c>
      <c r="U13" s="96" t="str">
        <f t="shared" si="56"/>
        <v/>
      </c>
      <c r="V13" s="96" t="str">
        <f t="shared" si="56"/>
        <v/>
      </c>
      <c r="W13" s="96" t="str">
        <f t="shared" si="56"/>
        <v/>
      </c>
      <c r="X13" s="96" t="str">
        <f t="shared" si="56"/>
        <v/>
      </c>
      <c r="Y13" s="96" t="str">
        <f t="shared" si="56"/>
        <v/>
      </c>
      <c r="Z13" s="96" t="str">
        <f t="shared" si="56"/>
        <v/>
      </c>
      <c r="AA13" s="96" t="str">
        <f t="shared" si="56"/>
        <v/>
      </c>
      <c r="AB13" s="96" t="str">
        <f t="shared" si="56"/>
        <v/>
      </c>
      <c r="AC13" s="96" t="str">
        <f t="shared" si="56"/>
        <v/>
      </c>
      <c r="AD13" s="96" t="str">
        <f t="shared" si="56"/>
        <v/>
      </c>
      <c r="AE13" s="96" t="str">
        <f t="shared" si="56"/>
        <v/>
      </c>
      <c r="AF13" s="96" t="str">
        <f t="shared" si="56"/>
        <v/>
      </c>
      <c r="AG13" s="96" t="str">
        <f t="shared" si="56"/>
        <v/>
      </c>
      <c r="AH13" s="96" t="str">
        <f t="shared" si="56"/>
        <v/>
      </c>
    </row>
    <row r="14" spans="1:34" ht="24.75" thickTop="1" thickBot="1">
      <c r="C14" s="153" t="s">
        <v>151</v>
      </c>
      <c r="D14" s="154"/>
      <c r="E14" s="5" t="s">
        <v>3</v>
      </c>
      <c r="F14" s="5" t="s">
        <v>5</v>
      </c>
      <c r="G14" s="5" t="s">
        <v>3</v>
      </c>
      <c r="H14" s="5" t="s">
        <v>3</v>
      </c>
      <c r="I14" s="5"/>
      <c r="J14" s="5"/>
      <c r="K14" s="5"/>
      <c r="L14" s="5"/>
      <c r="M14" s="5"/>
      <c r="N14" s="5"/>
      <c r="O14" s="5"/>
      <c r="P14" s="5"/>
      <c r="Q14" s="5"/>
      <c r="R14" s="5"/>
      <c r="S14" s="5"/>
      <c r="T14" s="5"/>
      <c r="U14" s="5"/>
      <c r="V14" s="5"/>
      <c r="W14" s="5"/>
      <c r="X14" s="5"/>
      <c r="Y14" s="5"/>
      <c r="Z14" s="5"/>
      <c r="AA14" s="5"/>
      <c r="AB14" s="5"/>
      <c r="AC14" s="5"/>
      <c r="AD14" s="5"/>
      <c r="AE14" s="5"/>
      <c r="AF14" s="5"/>
      <c r="AG14" s="5"/>
      <c r="AH14" s="5"/>
    </row>
    <row r="15" spans="1:34" ht="409.6" thickTop="1" thickBot="1">
      <c r="C15"/>
      <c r="D15" s="97" t="s">
        <v>152</v>
      </c>
      <c r="E15" s="96" t="s">
        <v>169</v>
      </c>
      <c r="F15" s="96"/>
      <c r="G15" s="96" t="s">
        <v>153</v>
      </c>
      <c r="H15" s="96" t="s">
        <v>153</v>
      </c>
      <c r="I15" s="96" t="s">
        <v>150</v>
      </c>
      <c r="J15" s="96" t="s">
        <v>170</v>
      </c>
      <c r="K15" s="96"/>
      <c r="L15" s="96"/>
      <c r="M15" s="96"/>
      <c r="N15" s="96"/>
      <c r="O15" s="96"/>
      <c r="P15" s="96"/>
      <c r="Q15" s="96"/>
      <c r="R15" s="96"/>
      <c r="S15" s="96"/>
      <c r="T15" s="96"/>
      <c r="U15" s="96"/>
      <c r="V15" s="96"/>
      <c r="W15" s="96"/>
      <c r="X15" s="96"/>
      <c r="Y15" s="96"/>
      <c r="Z15" s="96"/>
      <c r="AA15" s="96"/>
      <c r="AB15" s="96"/>
      <c r="AC15" s="96"/>
      <c r="AD15" s="96"/>
      <c r="AE15" s="96"/>
      <c r="AF15" s="96"/>
      <c r="AG15" s="96"/>
      <c r="AH15" s="96"/>
    </row>
    <row r="17" spans="4:34">
      <c r="D17" s="2"/>
    </row>
    <row r="18" spans="4:34">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row>
    <row r="19" spans="4:34">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row>
    <row r="20" spans="4:34">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row>
  </sheetData>
  <sheetProtection formatCells="0" formatColumns="0" formatRows="0" insertColumns="0" insertRows="0" insertHyperlinks="0" deleteColumns="0" deleteRows="0" sort="0"/>
  <protectedRanges>
    <protectedRange algorithmName="SHA-512" hashValue="TR5oMIz8+Sm8e/PdmAnLzFOabawUkLHFiNdol1J79s4/y6+LDyUYrVwQy+K9nLInDV87+YxALU8chBBUFv07Eg==" saltValue="lU+9RAH7AP75CvDx2efwlw==" spinCount="100000" sqref="E13 G13:AH13" name="Range1"/>
  </protectedRanges>
  <mergeCells count="3">
    <mergeCell ref="C12:D12"/>
    <mergeCell ref="C14:D14"/>
    <mergeCell ref="A4:B4"/>
  </mergeCells>
  <conditionalFormatting sqref="E5:AH8">
    <cfRule type="cellIs" dxfId="11" priority="1" operator="equal">
      <formula>1</formula>
    </cfRule>
    <cfRule type="cellIs" dxfId="10" priority="2" operator="equal">
      <formula>2</formula>
    </cfRule>
    <cfRule type="cellIs" dxfId="9" priority="3" operator="equal">
      <formula>3</formula>
    </cfRule>
  </conditionalFormatting>
  <pageMargins left="0.7" right="0.7" top="0.75" bottom="0.75" header="0.3" footer="0.3"/>
  <pageSetup paperSize="9" scale="55" orientation="landscape" verticalDpi="599" r:id="rId1"/>
  <headerFooter>
    <oddFooter>&amp;C&amp;1#&amp;"Calibri"&amp;10&amp;K000000Confidential</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253D532-B8CF-4CBF-8D23-2A2E77585053}">
          <x14:formula1>
            <xm:f>'Dropdown lists'!$A$2:$A$4</xm:f>
          </x14:formula1>
          <xm:sqref>E14:AH14 E12:AH12</xm:sqref>
        </x14:dataValidation>
        <x14:dataValidation type="list" allowBlank="1" showInputMessage="1" showErrorMessage="1" xr:uid="{457A82BC-E481-49D0-9A02-D4845702A4FF}">
          <x14:formula1>
            <xm:f>'Dropdown lists'!$B$2:$B$5</xm:f>
          </x14:formula1>
          <xm:sqref>E5:I8 J5:K7 N5:AH7 L5:M8 K8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2F1C9-7670-4873-9802-A919EBF589B7}">
  <sheetPr codeName="Sheet5">
    <tabColor theme="7" tint="0.79998168889431442"/>
  </sheetPr>
  <dimension ref="A1:AI15"/>
  <sheetViews>
    <sheetView showGridLines="0" zoomScale="70" zoomScaleNormal="70" workbookViewId="0">
      <pane xSplit="4" topLeftCell="E1" activePane="topRight" state="frozen"/>
      <selection pane="topRight" activeCell="F8" sqref="F8"/>
      <selection activeCell="B9" sqref="B9"/>
    </sheetView>
  </sheetViews>
  <sheetFormatPr defaultColWidth="8.7109375" defaultRowHeight="14.25"/>
  <cols>
    <col min="1" max="1" width="7.28515625" style="6" customWidth="1"/>
    <col min="2" max="2" width="29.28515625" style="6" customWidth="1"/>
    <col min="3" max="3" width="80.140625" style="6" customWidth="1"/>
    <col min="4" max="4" width="68.28515625" style="6" customWidth="1"/>
    <col min="5" max="5" width="20.85546875" style="6" customWidth="1"/>
    <col min="6" max="6" width="27" style="6" customWidth="1"/>
    <col min="7" max="7" width="24.85546875" style="6" customWidth="1"/>
    <col min="8" max="8" width="24.28515625" style="6" customWidth="1"/>
    <col min="9" max="9" width="19.140625" style="6" customWidth="1"/>
    <col min="10" max="10" width="19.7109375" style="6" customWidth="1"/>
    <col min="11" max="11" width="21.85546875" style="6" customWidth="1"/>
    <col min="12" max="34" width="9.28515625" style="6" hidden="1" customWidth="1"/>
    <col min="35" max="35" width="17.7109375" style="6" hidden="1" customWidth="1"/>
    <col min="36" max="36" width="29" style="6" customWidth="1"/>
    <col min="37" max="37" width="37.5703125" style="6" customWidth="1"/>
    <col min="38" max="16384" width="8.7109375" style="6"/>
  </cols>
  <sheetData>
    <row r="1" spans="1:35" ht="18.75">
      <c r="A1" s="10" t="s">
        <v>171</v>
      </c>
    </row>
    <row r="2" spans="1:35" ht="15" thickBot="1"/>
    <row r="3" spans="1:35" ht="76.5" customHeight="1" thickBot="1">
      <c r="A3" s="1"/>
      <c r="B3" s="10" t="str">
        <f>Processes!B3</f>
        <v>Audit No.</v>
      </c>
      <c r="C3" s="10" t="str">
        <f>'Audit conclusion'!$D$3</f>
        <v>2025-045 Cyber and Information Security</v>
      </c>
      <c r="D3" s="4" t="s">
        <v>128</v>
      </c>
      <c r="E3" s="85" t="str">
        <f ca="1">'Internal People &amp; Staff'!E3</f>
        <v xml:space="preserve">AU-109-02-Cyber &amp; IS Strategy and Design </v>
      </c>
      <c r="F3" s="85" t="str">
        <f ca="1">'Internal People &amp; Staff'!F3</f>
        <v>AU-109-08-ICT Incident Management</v>
      </c>
      <c r="G3" s="85" t="str">
        <f ca="1">'Internal People &amp; Staff'!G3</f>
        <v>AU-109-09-Cyber &amp; IS Prevention</v>
      </c>
      <c r="H3" s="85" t="str">
        <f ca="1">'Internal People &amp; Staff'!H3</f>
        <v>AU-109-10-Cyber &amp; IS Detection</v>
      </c>
      <c r="I3" s="85" t="str">
        <f ca="1">'Internal People &amp; Staff'!I3</f>
        <v>AU-109-11-Cyber &amp; IS Control functions (2LoD)</v>
      </c>
      <c r="J3" s="85" t="str">
        <f ca="1">'Internal People &amp; Staff'!J3</f>
        <v>AU-109-12-Threat Intelligence</v>
      </c>
      <c r="K3" s="85" t="str">
        <f ca="1">'Internal People &amp; Staff'!K3</f>
        <v>AU-121-04-CSDR Cyber &amp; IS</v>
      </c>
      <c r="L3" s="85">
        <f ca="1">'Internal People &amp; Staff'!L3</f>
        <v>0</v>
      </c>
      <c r="M3" s="85">
        <f ca="1">'Internal People &amp; Staff'!M3</f>
        <v>0</v>
      </c>
      <c r="N3" s="85">
        <f ca="1">'Internal People &amp; Staff'!N3</f>
        <v>0</v>
      </c>
      <c r="O3" s="85">
        <f ca="1">'Internal People &amp; Staff'!O3</f>
        <v>0</v>
      </c>
      <c r="P3" s="85">
        <f ca="1">'Internal People &amp; Staff'!P3</f>
        <v>0</v>
      </c>
      <c r="Q3" s="85">
        <f ca="1">'Internal People &amp; Staff'!Q3</f>
        <v>0</v>
      </c>
      <c r="R3" s="85">
        <f ca="1">'Internal People &amp; Staff'!R3</f>
        <v>0</v>
      </c>
      <c r="S3" s="85">
        <f ca="1">'Internal People &amp; Staff'!S3</f>
        <v>0</v>
      </c>
      <c r="T3" s="85">
        <f ca="1">'Internal People &amp; Staff'!T3</f>
        <v>0</v>
      </c>
      <c r="U3" s="85">
        <f ca="1">'Internal People &amp; Staff'!U3</f>
        <v>0</v>
      </c>
      <c r="V3" s="85">
        <f ca="1">'Internal People &amp; Staff'!V3</f>
        <v>0</v>
      </c>
      <c r="W3" s="85">
        <f ca="1">'Internal People &amp; Staff'!W3</f>
        <v>0</v>
      </c>
      <c r="X3" s="85">
        <f ca="1">'Internal People &amp; Staff'!X3</f>
        <v>0</v>
      </c>
      <c r="Y3" s="85">
        <f ca="1">'Internal People &amp; Staff'!Y3</f>
        <v>0</v>
      </c>
      <c r="Z3" s="85">
        <f ca="1">'Internal People &amp; Staff'!Z3</f>
        <v>0</v>
      </c>
      <c r="AA3" s="85">
        <f ca="1">'Internal People &amp; Staff'!AA3</f>
        <v>0</v>
      </c>
      <c r="AB3" s="85">
        <f ca="1">'Internal People &amp; Staff'!AB3</f>
        <v>0</v>
      </c>
      <c r="AC3" s="85">
        <f ca="1">'Internal People &amp; Staff'!AC3</f>
        <v>0</v>
      </c>
      <c r="AD3" s="85">
        <f ca="1">'Internal People &amp; Staff'!AD3</f>
        <v>0</v>
      </c>
      <c r="AE3" s="85">
        <f ca="1">'Internal People &amp; Staff'!AE3</f>
        <v>0</v>
      </c>
      <c r="AF3" s="85">
        <f ca="1">'Internal People &amp; Staff'!AF3</f>
        <v>0</v>
      </c>
      <c r="AG3" s="85">
        <f ca="1">'Internal People &amp; Staff'!AG3</f>
        <v>0</v>
      </c>
      <c r="AH3" s="159">
        <f ca="1">'Internal People &amp; Staff'!AH3</f>
        <v>0</v>
      </c>
      <c r="AI3" s="160"/>
    </row>
    <row r="4" spans="1:35" s="93" customFormat="1" ht="16.5" customHeight="1" thickTop="1" thickBot="1">
      <c r="A4" s="157" t="s">
        <v>129</v>
      </c>
      <c r="B4" s="158"/>
      <c r="C4" s="88"/>
      <c r="D4" s="88"/>
      <c r="E4" s="89" t="s">
        <v>130</v>
      </c>
      <c r="F4" s="89" t="s">
        <v>130</v>
      </c>
      <c r="G4" s="89" t="s">
        <v>130</v>
      </c>
      <c r="H4" s="89" t="s">
        <v>130</v>
      </c>
      <c r="I4" s="89" t="s">
        <v>130</v>
      </c>
      <c r="J4" s="89" t="s">
        <v>130</v>
      </c>
      <c r="K4" s="89" t="s">
        <v>130</v>
      </c>
      <c r="L4" s="89" t="s">
        <v>130</v>
      </c>
      <c r="M4" s="89" t="s">
        <v>130</v>
      </c>
      <c r="N4" s="89" t="s">
        <v>130</v>
      </c>
      <c r="O4" s="89" t="s">
        <v>130</v>
      </c>
      <c r="P4" s="89" t="s">
        <v>130</v>
      </c>
      <c r="Q4" s="89" t="s">
        <v>130</v>
      </c>
      <c r="R4" s="89" t="s">
        <v>130</v>
      </c>
      <c r="S4" s="89" t="s">
        <v>130</v>
      </c>
      <c r="T4" s="89" t="s">
        <v>130</v>
      </c>
      <c r="U4" s="89" t="s">
        <v>130</v>
      </c>
      <c r="V4" s="89" t="s">
        <v>130</v>
      </c>
      <c r="W4" s="89" t="s">
        <v>130</v>
      </c>
      <c r="X4" s="89" t="s">
        <v>130</v>
      </c>
      <c r="Y4" s="89" t="s">
        <v>130</v>
      </c>
      <c r="Z4" s="89" t="s">
        <v>130</v>
      </c>
      <c r="AA4" s="89" t="s">
        <v>130</v>
      </c>
      <c r="AB4" s="89" t="s">
        <v>130</v>
      </c>
      <c r="AC4" s="89" t="s">
        <v>130</v>
      </c>
      <c r="AD4" s="89" t="s">
        <v>130</v>
      </c>
      <c r="AE4" s="89" t="s">
        <v>130</v>
      </c>
      <c r="AF4" s="89" t="s">
        <v>130</v>
      </c>
      <c r="AG4" s="89" t="s">
        <v>130</v>
      </c>
      <c r="AH4" s="89" t="s">
        <v>130</v>
      </c>
      <c r="AI4" s="92" t="s">
        <v>172</v>
      </c>
    </row>
    <row r="5" spans="1:35" s="69" customFormat="1" ht="205.5" customHeight="1" thickTop="1" thickBot="1">
      <c r="A5" s="78">
        <v>1</v>
      </c>
      <c r="B5" s="79" t="s">
        <v>173</v>
      </c>
      <c r="C5" s="79" t="s">
        <v>174</v>
      </c>
      <c r="D5" s="79" t="s">
        <v>175</v>
      </c>
      <c r="E5" s="70">
        <v>1</v>
      </c>
      <c r="F5" s="70">
        <v>2</v>
      </c>
      <c r="G5" s="70">
        <v>2</v>
      </c>
      <c r="H5" s="70">
        <v>2</v>
      </c>
      <c r="I5" s="70">
        <v>1</v>
      </c>
      <c r="J5" s="70">
        <v>2</v>
      </c>
      <c r="K5" s="70" t="s">
        <v>9</v>
      </c>
      <c r="L5" s="70"/>
      <c r="M5" s="70"/>
      <c r="N5" s="70"/>
      <c r="O5" s="70"/>
      <c r="P5" s="70"/>
      <c r="Q5" s="70"/>
      <c r="R5" s="70"/>
      <c r="S5" s="70"/>
      <c r="T5" s="70"/>
      <c r="U5" s="70"/>
      <c r="V5" s="70"/>
      <c r="W5" s="70"/>
      <c r="X5" s="70"/>
      <c r="Y5" s="70"/>
      <c r="Z5" s="70"/>
      <c r="AA5" s="70"/>
      <c r="AB5" s="70"/>
      <c r="AC5" s="70"/>
      <c r="AD5" s="70"/>
      <c r="AE5" s="70"/>
      <c r="AF5" s="70"/>
      <c r="AG5" s="70"/>
      <c r="AH5" s="70"/>
      <c r="AI5" s="70"/>
    </row>
    <row r="6" spans="1:35" s="69" customFormat="1" ht="178.5" customHeight="1" thickTop="1" thickBot="1">
      <c r="A6" s="78">
        <v>2</v>
      </c>
      <c r="B6" s="77" t="s">
        <v>176</v>
      </c>
      <c r="C6" s="77" t="s">
        <v>177</v>
      </c>
      <c r="D6" s="77" t="s">
        <v>178</v>
      </c>
      <c r="E6" s="70">
        <v>1</v>
      </c>
      <c r="F6" s="70">
        <v>2</v>
      </c>
      <c r="G6" s="70">
        <v>2</v>
      </c>
      <c r="H6" s="70">
        <v>2</v>
      </c>
      <c r="I6" s="70">
        <v>1</v>
      </c>
      <c r="J6" s="70">
        <v>2</v>
      </c>
      <c r="K6" s="70" t="s">
        <v>9</v>
      </c>
      <c r="L6" s="70"/>
      <c r="M6" s="70"/>
      <c r="N6" s="70"/>
      <c r="O6" s="70"/>
      <c r="P6" s="70"/>
      <c r="Q6" s="70"/>
      <c r="R6" s="70"/>
      <c r="S6" s="70"/>
      <c r="T6" s="70"/>
      <c r="U6" s="70"/>
      <c r="V6" s="70"/>
      <c r="W6" s="70"/>
      <c r="X6" s="70"/>
      <c r="Y6" s="70"/>
      <c r="Z6" s="70"/>
      <c r="AA6" s="70"/>
      <c r="AB6" s="70"/>
      <c r="AC6" s="70"/>
      <c r="AD6" s="70"/>
      <c r="AE6" s="70"/>
      <c r="AF6" s="70"/>
      <c r="AG6" s="70"/>
      <c r="AH6" s="70"/>
      <c r="AI6" s="70"/>
    </row>
    <row r="7" spans="1:35" s="69" customFormat="1" ht="211.5" customHeight="1" thickTop="1" thickBot="1">
      <c r="A7" s="78">
        <v>3</v>
      </c>
      <c r="B7" s="77" t="s">
        <v>179</v>
      </c>
      <c r="C7" s="77" t="s">
        <v>180</v>
      </c>
      <c r="D7" s="77" t="s">
        <v>181</v>
      </c>
      <c r="E7" s="70" t="s">
        <v>9</v>
      </c>
      <c r="F7" s="70" t="s">
        <v>9</v>
      </c>
      <c r="G7" s="70" t="s">
        <v>9</v>
      </c>
      <c r="H7" s="70" t="s">
        <v>9</v>
      </c>
      <c r="I7" s="70" t="s">
        <v>9</v>
      </c>
      <c r="J7" s="70" t="s">
        <v>9</v>
      </c>
      <c r="K7" s="70" t="s">
        <v>9</v>
      </c>
      <c r="L7" s="70"/>
      <c r="M7" s="70"/>
      <c r="N7" s="70"/>
      <c r="O7" s="70"/>
      <c r="P7" s="70"/>
      <c r="Q7" s="70"/>
      <c r="R7" s="70"/>
      <c r="S7" s="70"/>
      <c r="T7" s="70"/>
      <c r="U7" s="70"/>
      <c r="V7" s="70"/>
      <c r="W7" s="70"/>
      <c r="X7" s="70"/>
      <c r="Y7" s="70"/>
      <c r="Z7" s="70"/>
      <c r="AA7" s="70"/>
      <c r="AB7" s="70"/>
      <c r="AC7" s="70"/>
      <c r="AD7" s="70"/>
      <c r="AE7" s="70"/>
      <c r="AF7" s="70"/>
      <c r="AG7" s="70"/>
      <c r="AH7" s="70"/>
      <c r="AI7" s="70"/>
    </row>
    <row r="8" spans="1:35" s="69" customFormat="1" ht="198.75" customHeight="1" thickTop="1" thickBot="1">
      <c r="A8" s="78">
        <v>4</v>
      </c>
      <c r="B8" s="77" t="s">
        <v>182</v>
      </c>
      <c r="C8" s="77" t="s">
        <v>183</v>
      </c>
      <c r="D8" s="77" t="s">
        <v>184</v>
      </c>
      <c r="E8" s="70">
        <v>2</v>
      </c>
      <c r="F8" s="70">
        <v>2</v>
      </c>
      <c r="G8" s="70">
        <v>3</v>
      </c>
      <c r="H8" s="70">
        <v>3</v>
      </c>
      <c r="I8" s="70">
        <v>1</v>
      </c>
      <c r="J8" s="70">
        <v>2</v>
      </c>
      <c r="K8" s="70" t="s">
        <v>9</v>
      </c>
      <c r="L8" s="70"/>
      <c r="M8" s="70"/>
      <c r="N8" s="70"/>
      <c r="O8" s="70"/>
      <c r="P8" s="70"/>
      <c r="Q8" s="70"/>
      <c r="R8" s="70"/>
      <c r="S8" s="70"/>
      <c r="T8" s="70"/>
      <c r="U8" s="70"/>
      <c r="V8" s="70"/>
      <c r="W8" s="70"/>
      <c r="X8" s="70"/>
      <c r="Y8" s="70"/>
      <c r="Z8" s="70"/>
      <c r="AA8" s="70"/>
      <c r="AB8" s="70"/>
      <c r="AC8" s="70"/>
      <c r="AD8" s="70"/>
      <c r="AE8" s="70"/>
      <c r="AF8" s="70"/>
      <c r="AG8" s="70"/>
      <c r="AH8" s="70"/>
      <c r="AI8" s="70"/>
    </row>
    <row r="9" spans="1:35" s="69" customFormat="1" ht="24.75" thickTop="1" thickBot="1">
      <c r="A9" s="60"/>
      <c r="B9" s="60"/>
      <c r="C9" s="71" t="s">
        <v>146</v>
      </c>
      <c r="D9" s="72"/>
      <c r="E9" s="73">
        <f t="shared" ref="E9:AH9" si="0">IFERROR(IF(COUNTBLANK(E5:E8)&gt;0,"",SUM(E5:E8)/COUNTIF(E5:E8,"&gt;=0")),"")</f>
        <v>1.3333333333333333</v>
      </c>
      <c r="F9" s="73">
        <f t="shared" si="0"/>
        <v>2</v>
      </c>
      <c r="G9" s="73">
        <f t="shared" si="0"/>
        <v>2.3333333333333335</v>
      </c>
      <c r="H9" s="73">
        <f t="shared" si="0"/>
        <v>2.3333333333333335</v>
      </c>
      <c r="I9" s="73">
        <f t="shared" si="0"/>
        <v>1</v>
      </c>
      <c r="J9" s="73">
        <f t="shared" si="0"/>
        <v>2</v>
      </c>
      <c r="K9" s="73" t="str">
        <f t="shared" si="0"/>
        <v/>
      </c>
      <c r="L9" s="73" t="str">
        <f t="shared" si="0"/>
        <v/>
      </c>
      <c r="M9" s="73" t="str">
        <f t="shared" si="0"/>
        <v/>
      </c>
      <c r="N9" s="73" t="str">
        <f t="shared" si="0"/>
        <v/>
      </c>
      <c r="O9" s="73" t="str">
        <f t="shared" si="0"/>
        <v/>
      </c>
      <c r="P9" s="73" t="str">
        <f t="shared" si="0"/>
        <v/>
      </c>
      <c r="Q9" s="73" t="str">
        <f t="shared" si="0"/>
        <v/>
      </c>
      <c r="R9" s="73" t="str">
        <f t="shared" si="0"/>
        <v/>
      </c>
      <c r="S9" s="73" t="str">
        <f t="shared" si="0"/>
        <v/>
      </c>
      <c r="T9" s="73" t="str">
        <f t="shared" si="0"/>
        <v/>
      </c>
      <c r="U9" s="73" t="str">
        <f t="shared" si="0"/>
        <v/>
      </c>
      <c r="V9" s="73" t="str">
        <f t="shared" si="0"/>
        <v/>
      </c>
      <c r="W9" s="73" t="str">
        <f t="shared" si="0"/>
        <v/>
      </c>
      <c r="X9" s="73" t="str">
        <f t="shared" si="0"/>
        <v/>
      </c>
      <c r="Y9" s="73" t="str">
        <f t="shared" si="0"/>
        <v/>
      </c>
      <c r="Z9" s="73" t="str">
        <f t="shared" si="0"/>
        <v/>
      </c>
      <c r="AA9" s="73" t="str">
        <f t="shared" si="0"/>
        <v/>
      </c>
      <c r="AB9" s="73" t="str">
        <f t="shared" si="0"/>
        <v/>
      </c>
      <c r="AC9" s="73" t="str">
        <f t="shared" si="0"/>
        <v/>
      </c>
      <c r="AD9" s="73" t="str">
        <f t="shared" si="0"/>
        <v/>
      </c>
      <c r="AE9" s="73" t="str">
        <f t="shared" si="0"/>
        <v/>
      </c>
      <c r="AF9" s="73" t="str">
        <f t="shared" si="0"/>
        <v/>
      </c>
      <c r="AG9" s="73" t="str">
        <f t="shared" si="0"/>
        <v/>
      </c>
      <c r="AH9" s="73" t="str">
        <f t="shared" si="0"/>
        <v/>
      </c>
      <c r="AI9" s="74"/>
    </row>
    <row r="10" spans="1:35" s="69" customFormat="1" ht="48" thickTop="1" thickBot="1">
      <c r="A10" s="60"/>
      <c r="B10" s="57"/>
      <c r="C10" s="54" t="s">
        <v>147</v>
      </c>
      <c r="D10" s="63"/>
      <c r="E10" s="54" t="str">
        <f>IF(E9="","",IF(E9&lt;1.4,"Low",(IF(AND(E9&gt;=1.4,E9&lt;2.4),"Medium",(IF((AND(E9&gt;=2.4)),"High"))))))</f>
        <v>Low</v>
      </c>
      <c r="F10" s="54" t="str">
        <f t="shared" ref="F10" si="1">IF(F9="","",IF(F9&lt;1.4,"Low",(IF(AND(F9&gt;=1.4,F9&lt;2.4),"Medium",(IF((AND(F9&gt;=2.4)),"High"))))))</f>
        <v>Medium</v>
      </c>
      <c r="G10" s="54" t="str">
        <f t="shared" ref="G10" si="2">IF(G9="","",IF(G9&lt;1.4,"Low",(IF(AND(G9&gt;=1.4,G9&lt;2.4),"Medium",(IF((AND(G9&gt;=2.4)),"High"))))))</f>
        <v>Medium</v>
      </c>
      <c r="H10" s="54" t="str">
        <f t="shared" ref="H10" si="3">IF(H9="","",IF(H9&lt;1.4,"Low",(IF(AND(H9&gt;=1.4,H9&lt;2.4),"Medium",(IF((AND(H9&gt;=2.4)),"High"))))))</f>
        <v>Medium</v>
      </c>
      <c r="I10" s="54" t="str">
        <f t="shared" ref="I10" si="4">IF(I9="","",IF(I9&lt;1.4,"Low",(IF(AND(I9&gt;=1.4,I9&lt;2.4),"Medium",(IF((AND(I9&gt;=2.4)),"High"))))))</f>
        <v>Low</v>
      </c>
      <c r="J10" s="54" t="str">
        <f t="shared" ref="J10" si="5">IF(J9="","",IF(J9&lt;1.4,"Low",(IF(AND(J9&gt;=1.4,J9&lt;2.4),"Medium",(IF((AND(J9&gt;=2.4)),"High"))))))</f>
        <v>Medium</v>
      </c>
      <c r="K10" s="54" t="str">
        <f t="shared" ref="K10" si="6">IF(K9="","",IF(K9&lt;1.4,"Low",(IF(AND(K9&gt;=1.4,K9&lt;2.4),"Medium",(IF((AND(K9&gt;=2.4)),"High"))))))</f>
        <v/>
      </c>
      <c r="L10" s="54" t="str">
        <f t="shared" ref="L10" si="7">IF(L9="","",IF(L9&lt;1.4,"Low",(IF(AND(L9&gt;=1.4,L9&lt;2.4),"Medium",(IF((AND(L9&gt;=2.4)),"High"))))))</f>
        <v/>
      </c>
      <c r="M10" s="54" t="str">
        <f t="shared" ref="M10" si="8">IF(M9="","",IF(M9&lt;1.4,"Low",(IF(AND(M9&gt;=1.4,M9&lt;2.4),"Medium",(IF((AND(M9&gt;=2.4)),"High"))))))</f>
        <v/>
      </c>
      <c r="N10" s="54" t="str">
        <f t="shared" ref="N10" si="9">IF(N9="","",IF(N9&lt;1.4,"Low",(IF(AND(N9&gt;=1.4,N9&lt;2.4),"Medium",(IF((AND(N9&gt;=2.4)),"High"))))))</f>
        <v/>
      </c>
      <c r="O10" s="54" t="str">
        <f t="shared" ref="O10" si="10">IF(O9="","",IF(O9&lt;1.4,"Low",(IF(AND(O9&gt;=1.4,O9&lt;2.4),"Medium",(IF((AND(O9&gt;=2.4)),"High"))))))</f>
        <v/>
      </c>
      <c r="P10" s="54" t="str">
        <f t="shared" ref="P10" si="11">IF(P9="","",IF(P9&lt;1.4,"Low",(IF(AND(P9&gt;=1.4,P9&lt;2.4),"Medium",(IF((AND(P9&gt;=2.4)),"High"))))))</f>
        <v/>
      </c>
      <c r="Q10" s="54" t="str">
        <f t="shared" ref="Q10" si="12">IF(Q9="","",IF(Q9&lt;1.4,"Low",(IF(AND(Q9&gt;=1.4,Q9&lt;2.4),"Medium",(IF((AND(Q9&gt;=2.4)),"High"))))))</f>
        <v/>
      </c>
      <c r="R10" s="54" t="str">
        <f t="shared" ref="R10" si="13">IF(R9="","",IF(R9&lt;1.4,"Low",(IF(AND(R9&gt;=1.4,R9&lt;2.4),"Medium",(IF((AND(R9&gt;=2.4)),"High"))))))</f>
        <v/>
      </c>
      <c r="S10" s="54" t="str">
        <f t="shared" ref="S10" si="14">IF(S9="","",IF(S9&lt;1.4,"Low",(IF(AND(S9&gt;=1.4,S9&lt;2.4),"Medium",(IF((AND(S9&gt;=2.4)),"High"))))))</f>
        <v/>
      </c>
      <c r="T10" s="54" t="str">
        <f t="shared" ref="T10" si="15">IF(T9="","",IF(T9&lt;1.4,"Low",(IF(AND(T9&gt;=1.4,T9&lt;2.4),"Medium",(IF((AND(T9&gt;=2.4)),"High"))))))</f>
        <v/>
      </c>
      <c r="U10" s="54" t="str">
        <f t="shared" ref="U10" si="16">IF(U9="","",IF(U9&lt;1.4,"Low",(IF(AND(U9&gt;=1.4,U9&lt;2.4),"Medium",(IF((AND(U9&gt;=2.4)),"High"))))))</f>
        <v/>
      </c>
      <c r="V10" s="54" t="str">
        <f t="shared" ref="V10" si="17">IF(V9="","",IF(V9&lt;1.4,"Low",(IF(AND(V9&gt;=1.4,V9&lt;2.4),"Medium",(IF((AND(V9&gt;=2.4)),"High"))))))</f>
        <v/>
      </c>
      <c r="W10" s="54" t="str">
        <f t="shared" ref="W10" si="18">IF(W9="","",IF(W9&lt;1.4,"Low",(IF(AND(W9&gt;=1.4,W9&lt;2.4),"Medium",(IF((AND(W9&gt;=2.4)),"High"))))))</f>
        <v/>
      </c>
      <c r="X10" s="54" t="str">
        <f t="shared" ref="X10" si="19">IF(X9="","",IF(X9&lt;1.4,"Low",(IF(AND(X9&gt;=1.4,X9&lt;2.4),"Medium",(IF((AND(X9&gt;=2.4)),"High"))))))</f>
        <v/>
      </c>
      <c r="Y10" s="54" t="str">
        <f t="shared" ref="Y10" si="20">IF(Y9="","",IF(Y9&lt;1.4,"Low",(IF(AND(Y9&gt;=1.4,Y9&lt;2.4),"Medium",(IF((AND(Y9&gt;=2.4)),"High"))))))</f>
        <v/>
      </c>
      <c r="Z10" s="54" t="str">
        <f t="shared" ref="Z10" si="21">IF(Z9="","",IF(Z9&lt;1.4,"Low",(IF(AND(Z9&gt;=1.4,Z9&lt;2.4),"Medium",(IF((AND(Z9&gt;=2.4)),"High"))))))</f>
        <v/>
      </c>
      <c r="AA10" s="54" t="str">
        <f t="shared" ref="AA10" si="22">IF(AA9="","",IF(AA9&lt;1.4,"Low",(IF(AND(AA9&gt;=1.4,AA9&lt;2.4),"Medium",(IF((AND(AA9&gt;=2.4)),"High"))))))</f>
        <v/>
      </c>
      <c r="AB10" s="54" t="str">
        <f t="shared" ref="AB10" si="23">IF(AB9="","",IF(AB9&lt;1.4,"Low",(IF(AND(AB9&gt;=1.4,AB9&lt;2.4),"Medium",(IF((AND(AB9&gt;=2.4)),"High"))))))</f>
        <v/>
      </c>
      <c r="AC10" s="54" t="str">
        <f t="shared" ref="AC10" si="24">IF(AC9="","",IF(AC9&lt;1.4,"Low",(IF(AND(AC9&gt;=1.4,AC9&lt;2.4),"Medium",(IF((AND(AC9&gt;=2.4)),"High"))))))</f>
        <v/>
      </c>
      <c r="AD10" s="54" t="str">
        <f t="shared" ref="AD10" si="25">IF(AD9="","",IF(AD9&lt;1.4,"Low",(IF(AND(AD9&gt;=1.4,AD9&lt;2.4),"Medium",(IF((AND(AD9&gt;=2.4)),"High"))))))</f>
        <v/>
      </c>
      <c r="AE10" s="54" t="str">
        <f t="shared" ref="AE10" si="26">IF(AE9="","",IF(AE9&lt;1.4,"Low",(IF(AND(AE9&gt;=1.4,AE9&lt;2.4),"Medium",(IF((AND(AE9&gt;=2.4)),"High"))))))</f>
        <v/>
      </c>
      <c r="AF10" s="54" t="str">
        <f t="shared" ref="AF10" si="27">IF(AF9="","",IF(AF9&lt;1.4,"Low",(IF(AND(AF9&gt;=1.4,AF9&lt;2.4),"Medium",(IF((AND(AF9&gt;=2.4)),"High"))))))</f>
        <v/>
      </c>
      <c r="AG10" s="54" t="str">
        <f t="shared" ref="AG10" si="28">IF(AG9="","",IF(AG9&lt;1.4,"Low",(IF(AND(AG9&gt;=1.4,AG9&lt;2.4),"Medium",(IF((AND(AG9&gt;=2.4)),"High"))))))</f>
        <v/>
      </c>
      <c r="AH10" s="54" t="str">
        <f t="shared" ref="AH10" si="29">IF(AH9="","",IF(AH9&lt;1.4,"Low",(IF(AND(AH9&gt;=1.4,AH9&lt;2.4),"Medium",(IF((AND(AH9&gt;=2.4)),"High"))))))</f>
        <v/>
      </c>
      <c r="AI10" s="54"/>
    </row>
    <row r="11" spans="1:35" s="69" customFormat="1" ht="24" thickBot="1">
      <c r="B11" s="57"/>
      <c r="C11" s="60"/>
      <c r="D11" s="60"/>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row>
    <row r="12" spans="1:35" s="69" customFormat="1" ht="24.75" thickTop="1" thickBot="1">
      <c r="B12" s="57"/>
      <c r="C12" s="155" t="s">
        <v>148</v>
      </c>
      <c r="D12" s="156"/>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4" t="str">
        <f t="shared" ref="AI12" si="30">IF(AH12="","","Put here justification for overriding")</f>
        <v/>
      </c>
    </row>
    <row r="13" spans="1:35" s="69" customFormat="1" ht="24.75" thickTop="1" thickBot="1">
      <c r="B13" s="57"/>
      <c r="C13"/>
      <c r="D13" s="97" t="s">
        <v>149</v>
      </c>
      <c r="E13" s="96" t="str">
        <f>IF(E12&gt;0,"Add justification","")</f>
        <v/>
      </c>
      <c r="F13" s="96" t="str">
        <f t="shared" ref="F13:AH13" si="31">IF(F12&gt;0,"Add justification","")</f>
        <v/>
      </c>
      <c r="G13" s="96" t="str">
        <f t="shared" si="31"/>
        <v/>
      </c>
      <c r="H13" s="96" t="str">
        <f t="shared" si="31"/>
        <v/>
      </c>
      <c r="I13" s="96" t="str">
        <f t="shared" si="31"/>
        <v/>
      </c>
      <c r="J13" s="96" t="str">
        <f t="shared" si="31"/>
        <v/>
      </c>
      <c r="K13" s="96"/>
      <c r="L13" s="96" t="str">
        <f t="shared" si="31"/>
        <v/>
      </c>
      <c r="M13" s="96" t="str">
        <f t="shared" si="31"/>
        <v/>
      </c>
      <c r="N13" s="96" t="str">
        <f t="shared" si="31"/>
        <v/>
      </c>
      <c r="O13" s="96" t="str">
        <f t="shared" si="31"/>
        <v/>
      </c>
      <c r="P13" s="96" t="str">
        <f t="shared" si="31"/>
        <v/>
      </c>
      <c r="Q13" s="96" t="str">
        <f t="shared" si="31"/>
        <v/>
      </c>
      <c r="R13" s="96" t="str">
        <f t="shared" si="31"/>
        <v/>
      </c>
      <c r="S13" s="96" t="str">
        <f t="shared" si="31"/>
        <v/>
      </c>
      <c r="T13" s="96" t="str">
        <f t="shared" si="31"/>
        <v/>
      </c>
      <c r="U13" s="96" t="str">
        <f t="shared" si="31"/>
        <v/>
      </c>
      <c r="V13" s="96" t="str">
        <f t="shared" si="31"/>
        <v/>
      </c>
      <c r="W13" s="96" t="str">
        <f t="shared" si="31"/>
        <v/>
      </c>
      <c r="X13" s="96" t="str">
        <f t="shared" si="31"/>
        <v/>
      </c>
      <c r="Y13" s="96" t="str">
        <f t="shared" si="31"/>
        <v/>
      </c>
      <c r="Z13" s="96" t="str">
        <f t="shared" si="31"/>
        <v/>
      </c>
      <c r="AA13" s="96" t="str">
        <f t="shared" si="31"/>
        <v/>
      </c>
      <c r="AB13" s="96" t="str">
        <f t="shared" si="31"/>
        <v/>
      </c>
      <c r="AC13" s="96" t="str">
        <f t="shared" si="31"/>
        <v/>
      </c>
      <c r="AD13" s="96" t="str">
        <f t="shared" si="31"/>
        <v/>
      </c>
      <c r="AE13" s="96" t="str">
        <f t="shared" si="31"/>
        <v/>
      </c>
      <c r="AF13" s="96" t="str">
        <f t="shared" si="31"/>
        <v/>
      </c>
      <c r="AG13" s="96" t="str">
        <f t="shared" si="31"/>
        <v/>
      </c>
      <c r="AH13" s="96" t="str">
        <f t="shared" si="31"/>
        <v/>
      </c>
    </row>
    <row r="14" spans="1:35" ht="24.75" thickTop="1" thickBot="1">
      <c r="C14" s="153" t="s">
        <v>151</v>
      </c>
      <c r="D14" s="154"/>
      <c r="E14" s="5" t="s">
        <v>7</v>
      </c>
      <c r="F14" s="5" t="s">
        <v>5</v>
      </c>
      <c r="G14" s="5" t="s">
        <v>5</v>
      </c>
      <c r="H14" s="5" t="s">
        <v>5</v>
      </c>
      <c r="I14" s="5"/>
      <c r="J14" s="5"/>
      <c r="K14" s="5"/>
      <c r="L14" s="5"/>
      <c r="M14" s="5"/>
      <c r="N14" s="5"/>
      <c r="O14" s="5"/>
      <c r="P14" s="5"/>
      <c r="Q14" s="5"/>
      <c r="R14" s="5"/>
      <c r="S14" s="5"/>
      <c r="T14" s="5"/>
      <c r="U14" s="5"/>
      <c r="V14" s="5"/>
      <c r="W14" s="5"/>
      <c r="X14" s="5"/>
      <c r="Y14" s="5"/>
      <c r="Z14" s="5"/>
      <c r="AA14" s="5"/>
      <c r="AB14" s="5"/>
      <c r="AC14" s="5"/>
      <c r="AD14" s="5"/>
      <c r="AE14" s="5"/>
      <c r="AF14" s="5"/>
      <c r="AG14" s="5"/>
      <c r="AH14" s="5"/>
    </row>
    <row r="15" spans="1:35" ht="307.5" thickTop="1" thickBot="1">
      <c r="C15"/>
      <c r="D15" s="97" t="s">
        <v>152</v>
      </c>
      <c r="E15" s="96" t="s">
        <v>153</v>
      </c>
      <c r="F15" s="96" t="s">
        <v>154</v>
      </c>
      <c r="G15" s="96" t="s">
        <v>153</v>
      </c>
      <c r="H15" s="96" t="s">
        <v>153</v>
      </c>
      <c r="I15" s="96" t="s">
        <v>150</v>
      </c>
      <c r="J15" s="96" t="s">
        <v>170</v>
      </c>
      <c r="K15" s="96"/>
      <c r="L15" s="96"/>
      <c r="M15" s="96"/>
      <c r="N15" s="96"/>
      <c r="O15" s="96"/>
      <c r="P15" s="96"/>
      <c r="Q15" s="96"/>
      <c r="R15" s="96"/>
      <c r="S15" s="96"/>
      <c r="T15" s="96"/>
      <c r="U15" s="96"/>
      <c r="V15" s="96"/>
      <c r="W15" s="96"/>
      <c r="X15" s="96"/>
      <c r="Y15" s="96"/>
      <c r="Z15" s="96"/>
      <c r="AA15" s="96"/>
      <c r="AB15" s="96"/>
      <c r="AC15" s="96"/>
      <c r="AD15" s="96"/>
      <c r="AE15" s="96"/>
      <c r="AF15" s="96"/>
      <c r="AG15" s="96"/>
      <c r="AH15" s="96"/>
    </row>
  </sheetData>
  <sheetProtection formatCells="0" formatColumns="0" formatRows="0" insertColumns="0" insertRows="0" insertHyperlinks="0" deleteColumns="0" deleteRows="0" sort="0"/>
  <protectedRanges>
    <protectedRange algorithmName="SHA-512" hashValue="TR5oMIz8+Sm8e/PdmAnLzFOabawUkLHFiNdol1J79s4/y6+LDyUYrVwQy+K9nLInDV87+YxALU8chBBUFv07Eg==" saltValue="lU+9RAH7AP75CvDx2efwlw==" spinCount="100000" sqref="E13:AH13" name="Range1"/>
  </protectedRanges>
  <mergeCells count="4">
    <mergeCell ref="C12:D12"/>
    <mergeCell ref="C14:D14"/>
    <mergeCell ref="AH3:AI3"/>
    <mergeCell ref="A4:B4"/>
  </mergeCells>
  <conditionalFormatting sqref="E5:AH8">
    <cfRule type="cellIs" dxfId="8" priority="1" operator="equal">
      <formula>1</formula>
    </cfRule>
    <cfRule type="cellIs" dxfId="7" priority="2" operator="equal">
      <formula>2</formula>
    </cfRule>
    <cfRule type="cellIs" dxfId="6" priority="3" operator="equal">
      <formula>3</formula>
    </cfRule>
  </conditionalFormatting>
  <dataValidations count="1">
    <dataValidation type="textLength" operator="greaterThanOrEqual" allowBlank="1" showInputMessage="1" showErrorMessage="1" error="minimum 20 symbols" prompt="minimum 20 symbols" sqref="AI12" xr:uid="{4F1BB128-7125-4A78-AB2A-E6431AA8C008}">
      <formula1>20</formula1>
    </dataValidation>
  </dataValidations>
  <pageMargins left="0.7" right="0.7" top="0.78740157499999996" bottom="0.78740157499999996" header="0.3" footer="0.3"/>
  <pageSetup paperSize="9" orientation="portrait" r:id="rId1"/>
  <headerFooter>
    <oddFooter>&amp;C&amp;1#&amp;"Calibri"&amp;10&amp;K000000Confidential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D7F560C5-A736-4135-B8B0-697371F46F30}">
          <x14:formula1>
            <xm:f>'Dropdown lists'!$A$2:$A$4</xm:f>
          </x14:formula1>
          <xm:sqref>E12:AH12 E14:AH14</xm:sqref>
        </x14:dataValidation>
        <x14:dataValidation type="list" allowBlank="1" showInputMessage="1" showErrorMessage="1" xr:uid="{0ECFC74F-9F36-4B97-A44F-77D13BB9573A}">
          <x14:formula1>
            <xm:f>'Dropdown lists'!$B$2:$B$5</xm:f>
          </x14:formula1>
          <xm:sqref>E5:AH8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B7184-D00C-4E99-A179-5E6F232F7246}">
  <sheetPr codeName="Sheet6">
    <tabColor theme="9" tint="0.79998168889431442"/>
  </sheetPr>
  <dimension ref="A1:AH16"/>
  <sheetViews>
    <sheetView showGridLines="0" topLeftCell="A8" zoomScale="55" zoomScaleNormal="55" workbookViewId="0">
      <pane xSplit="4" topLeftCell="E1" activePane="topRight" state="frozen"/>
      <selection pane="topRight" activeCell="C5" sqref="C5"/>
      <selection activeCell="B9" sqref="B9"/>
    </sheetView>
  </sheetViews>
  <sheetFormatPr defaultColWidth="10.7109375" defaultRowHeight="15"/>
  <cols>
    <col min="1" max="1" width="7.28515625" customWidth="1"/>
    <col min="2" max="2" width="21.42578125" customWidth="1"/>
    <col min="3" max="3" width="83.42578125" customWidth="1"/>
    <col min="4" max="4" width="63.42578125" customWidth="1"/>
    <col min="5" max="5" width="19.5703125" customWidth="1"/>
    <col min="6" max="11" width="16.85546875" customWidth="1"/>
    <col min="12" max="34" width="9.28515625" hidden="1" customWidth="1"/>
    <col min="35" max="35" width="22" customWidth="1"/>
  </cols>
  <sheetData>
    <row r="1" spans="1:34" ht="18.75">
      <c r="A1" s="10" t="s">
        <v>185</v>
      </c>
    </row>
    <row r="2" spans="1:34" ht="15.75" thickBot="1"/>
    <row r="3" spans="1:34" ht="78.75" customHeight="1" thickBot="1">
      <c r="A3" s="1"/>
      <c r="B3" s="10" t="str">
        <f>Processes!B3</f>
        <v>Audit No.</v>
      </c>
      <c r="C3" s="10" t="str">
        <f>'Audit conclusion'!$D$3</f>
        <v>2025-045 Cyber and Information Security</v>
      </c>
      <c r="D3" s="4" t="s">
        <v>128</v>
      </c>
      <c r="E3" s="85" t="str">
        <f ca="1">'Internal People &amp; Staff'!E3</f>
        <v xml:space="preserve">AU-109-02-Cyber &amp; IS Strategy and Design </v>
      </c>
      <c r="F3" s="85" t="str">
        <f ca="1">'Internal People &amp; Staff'!F3</f>
        <v>AU-109-08-ICT Incident Management</v>
      </c>
      <c r="G3" s="85" t="str">
        <f ca="1">'Internal People &amp; Staff'!G3</f>
        <v>AU-109-09-Cyber &amp; IS Prevention</v>
      </c>
      <c r="H3" s="85" t="str">
        <f ca="1">'Internal People &amp; Staff'!H3</f>
        <v>AU-109-10-Cyber &amp; IS Detection</v>
      </c>
      <c r="I3" s="85" t="str">
        <f ca="1">'Internal People &amp; Staff'!I3</f>
        <v>AU-109-11-Cyber &amp; IS Control functions (2LoD)</v>
      </c>
      <c r="J3" s="85" t="str">
        <f ca="1">'Internal People &amp; Staff'!J3</f>
        <v>AU-109-12-Threat Intelligence</v>
      </c>
      <c r="K3" s="85" t="str">
        <f ca="1">'Internal People &amp; Staff'!K3</f>
        <v>AU-121-04-CSDR Cyber &amp; IS</v>
      </c>
      <c r="L3" s="85">
        <f ca="1">'Internal People &amp; Staff'!L3</f>
        <v>0</v>
      </c>
      <c r="M3" s="85">
        <f ca="1">'Internal People &amp; Staff'!M3</f>
        <v>0</v>
      </c>
      <c r="N3" s="85">
        <f ca="1">'Internal People &amp; Staff'!N3</f>
        <v>0</v>
      </c>
      <c r="O3" s="85">
        <f ca="1">'Internal People &amp; Staff'!O3</f>
        <v>0</v>
      </c>
      <c r="P3" s="85">
        <f ca="1">'Internal People &amp; Staff'!P3</f>
        <v>0</v>
      </c>
      <c r="Q3" s="85">
        <f ca="1">'Internal People &amp; Staff'!Q3</f>
        <v>0</v>
      </c>
      <c r="R3" s="85">
        <f ca="1">'Internal People &amp; Staff'!R3</f>
        <v>0</v>
      </c>
      <c r="S3" s="85">
        <f ca="1">'Internal People &amp; Staff'!S3</f>
        <v>0</v>
      </c>
      <c r="T3" s="85">
        <f ca="1">'Internal People &amp; Staff'!T3</f>
        <v>0</v>
      </c>
      <c r="U3" s="85">
        <f ca="1">'Internal People &amp; Staff'!U3</f>
        <v>0</v>
      </c>
      <c r="V3" s="85">
        <f ca="1">'Internal People &amp; Staff'!V3</f>
        <v>0</v>
      </c>
      <c r="W3" s="85">
        <f ca="1">'Internal People &amp; Staff'!W3</f>
        <v>0</v>
      </c>
      <c r="X3" s="85">
        <f ca="1">'Internal People &amp; Staff'!X3</f>
        <v>0</v>
      </c>
      <c r="Y3" s="85">
        <f ca="1">'Internal People &amp; Staff'!Y3</f>
        <v>0</v>
      </c>
      <c r="Z3" s="85">
        <f ca="1">'Internal People &amp; Staff'!Z3</f>
        <v>0</v>
      </c>
      <c r="AA3" s="85">
        <f ca="1">'Internal People &amp; Staff'!AA3</f>
        <v>0</v>
      </c>
      <c r="AB3" s="85">
        <f ca="1">'Internal People &amp; Staff'!AB3</f>
        <v>0</v>
      </c>
      <c r="AC3" s="85">
        <f ca="1">'Internal People &amp; Staff'!AC3</f>
        <v>0</v>
      </c>
      <c r="AD3" s="85">
        <f ca="1">'Internal People &amp; Staff'!AD3</f>
        <v>0</v>
      </c>
      <c r="AE3" s="85">
        <f ca="1">'Internal People &amp; Staff'!AE3</f>
        <v>0</v>
      </c>
      <c r="AF3" s="85">
        <f ca="1">'Internal People &amp; Staff'!AF3</f>
        <v>0</v>
      </c>
      <c r="AG3" s="85">
        <f ca="1">'Internal People &amp; Staff'!AG3</f>
        <v>0</v>
      </c>
      <c r="AH3" s="85">
        <f ca="1">'Internal People &amp; Staff'!AH3</f>
        <v>0</v>
      </c>
    </row>
    <row r="4" spans="1:34" ht="16.5" customHeight="1" thickTop="1" thickBot="1">
      <c r="A4" s="161" t="s">
        <v>129</v>
      </c>
      <c r="B4" s="162"/>
      <c r="C4" s="80"/>
      <c r="D4" s="80"/>
      <c r="E4" s="81" t="s">
        <v>130</v>
      </c>
      <c r="F4" s="81" t="s">
        <v>130</v>
      </c>
      <c r="G4" s="81" t="s">
        <v>130</v>
      </c>
      <c r="H4" s="81" t="s">
        <v>130</v>
      </c>
      <c r="I4" s="81" t="s">
        <v>130</v>
      </c>
      <c r="J4" s="81" t="s">
        <v>130</v>
      </c>
      <c r="K4" s="81" t="s">
        <v>130</v>
      </c>
      <c r="L4" s="81" t="s">
        <v>130</v>
      </c>
      <c r="M4" s="81" t="s">
        <v>130</v>
      </c>
      <c r="N4" s="81" t="s">
        <v>130</v>
      </c>
      <c r="O4" s="81" t="s">
        <v>130</v>
      </c>
      <c r="P4" s="81" t="s">
        <v>130</v>
      </c>
      <c r="Q4" s="81" t="s">
        <v>130</v>
      </c>
      <c r="R4" s="81" t="s">
        <v>130</v>
      </c>
      <c r="S4" s="81" t="s">
        <v>130</v>
      </c>
      <c r="T4" s="81" t="s">
        <v>130</v>
      </c>
      <c r="U4" s="81" t="s">
        <v>130</v>
      </c>
      <c r="V4" s="81" t="s">
        <v>130</v>
      </c>
      <c r="W4" s="81" t="s">
        <v>130</v>
      </c>
      <c r="X4" s="81" t="s">
        <v>130</v>
      </c>
      <c r="Y4" s="81" t="s">
        <v>130</v>
      </c>
      <c r="Z4" s="81" t="s">
        <v>130</v>
      </c>
      <c r="AA4" s="81" t="s">
        <v>130</v>
      </c>
      <c r="AB4" s="81" t="s">
        <v>130</v>
      </c>
      <c r="AC4" s="81" t="s">
        <v>130</v>
      </c>
      <c r="AD4" s="81" t="s">
        <v>130</v>
      </c>
      <c r="AE4" s="81" t="s">
        <v>130</v>
      </c>
      <c r="AF4" s="81" t="s">
        <v>130</v>
      </c>
      <c r="AG4" s="81" t="s">
        <v>130</v>
      </c>
      <c r="AH4" s="81" t="s">
        <v>130</v>
      </c>
    </row>
    <row r="5" spans="1:34" ht="243" customHeight="1" thickTop="1" thickBot="1">
      <c r="A5" s="82">
        <v>1</v>
      </c>
      <c r="B5" s="83" t="s">
        <v>186</v>
      </c>
      <c r="C5" s="83" t="s">
        <v>187</v>
      </c>
      <c r="D5" s="83" t="s">
        <v>188</v>
      </c>
      <c r="E5" s="42">
        <v>1</v>
      </c>
      <c r="F5" s="42">
        <v>1</v>
      </c>
      <c r="G5" s="42">
        <v>3</v>
      </c>
      <c r="H5" s="42">
        <v>3</v>
      </c>
      <c r="I5" s="42">
        <v>1</v>
      </c>
      <c r="J5" s="42">
        <v>1</v>
      </c>
      <c r="K5" s="42" t="s">
        <v>9</v>
      </c>
      <c r="L5" s="42"/>
      <c r="M5" s="42"/>
      <c r="N5" s="42"/>
      <c r="O5" s="42"/>
      <c r="P5" s="42"/>
      <c r="Q5" s="42"/>
      <c r="R5" s="42"/>
      <c r="S5" s="42"/>
      <c r="T5" s="42"/>
      <c r="U5" s="42"/>
      <c r="V5" s="42"/>
      <c r="W5" s="42"/>
      <c r="X5" s="42"/>
      <c r="Y5" s="42"/>
      <c r="Z5" s="42"/>
      <c r="AA5" s="42"/>
      <c r="AB5" s="42"/>
      <c r="AC5" s="42"/>
      <c r="AD5" s="42"/>
      <c r="AE5" s="42"/>
      <c r="AF5" s="42"/>
      <c r="AG5" s="42"/>
      <c r="AH5" s="42"/>
    </row>
    <row r="6" spans="1:34" ht="182.45" customHeight="1" thickTop="1" thickBot="1">
      <c r="A6" s="82">
        <v>2</v>
      </c>
      <c r="B6" s="83" t="s">
        <v>189</v>
      </c>
      <c r="C6" s="83" t="s">
        <v>190</v>
      </c>
      <c r="D6" s="83" t="s">
        <v>191</v>
      </c>
      <c r="E6" s="42">
        <v>2</v>
      </c>
      <c r="F6" s="42">
        <v>3</v>
      </c>
      <c r="G6" s="42">
        <v>3</v>
      </c>
      <c r="H6" s="42">
        <v>3</v>
      </c>
      <c r="I6" s="42">
        <v>2</v>
      </c>
      <c r="J6" s="42">
        <v>2</v>
      </c>
      <c r="K6" s="42" t="s">
        <v>9</v>
      </c>
      <c r="L6" s="42"/>
      <c r="M6" s="42"/>
      <c r="N6" s="42"/>
      <c r="O6" s="42"/>
      <c r="P6" s="42"/>
      <c r="Q6" s="42"/>
      <c r="R6" s="42"/>
      <c r="S6" s="42"/>
      <c r="T6" s="42"/>
      <c r="U6" s="42"/>
      <c r="V6" s="42"/>
      <c r="W6" s="42"/>
      <c r="X6" s="42"/>
      <c r="Y6" s="42"/>
      <c r="Z6" s="42"/>
      <c r="AA6" s="42"/>
      <c r="AB6" s="42"/>
      <c r="AC6" s="42"/>
      <c r="AD6" s="42"/>
      <c r="AE6" s="42"/>
      <c r="AF6" s="42"/>
      <c r="AG6" s="42"/>
      <c r="AH6" s="42"/>
    </row>
    <row r="7" spans="1:34" ht="244.5" thickTop="1" thickBot="1">
      <c r="A7" s="82">
        <v>3</v>
      </c>
      <c r="B7" s="83" t="s">
        <v>192</v>
      </c>
      <c r="C7" s="83" t="s">
        <v>193</v>
      </c>
      <c r="D7" s="83" t="s">
        <v>194</v>
      </c>
      <c r="E7" s="42">
        <v>2</v>
      </c>
      <c r="F7" s="42">
        <v>3</v>
      </c>
      <c r="G7" s="42">
        <v>3</v>
      </c>
      <c r="H7" s="42">
        <v>3</v>
      </c>
      <c r="I7" s="42">
        <v>1</v>
      </c>
      <c r="J7" s="42">
        <v>2</v>
      </c>
      <c r="K7" s="42" t="s">
        <v>9</v>
      </c>
      <c r="L7" s="42"/>
      <c r="M7" s="42"/>
      <c r="N7" s="42"/>
      <c r="O7" s="42"/>
      <c r="P7" s="42"/>
      <c r="Q7" s="42"/>
      <c r="R7" s="42"/>
      <c r="S7" s="42"/>
      <c r="T7" s="42"/>
      <c r="U7" s="42"/>
      <c r="V7" s="42"/>
      <c r="W7" s="42"/>
      <c r="X7" s="42"/>
      <c r="Y7" s="42"/>
      <c r="Z7" s="42"/>
      <c r="AA7" s="42"/>
      <c r="AB7" s="42"/>
      <c r="AC7" s="42"/>
      <c r="AD7" s="42"/>
      <c r="AE7" s="42"/>
      <c r="AF7" s="42"/>
      <c r="AG7" s="42"/>
      <c r="AH7" s="42"/>
    </row>
    <row r="8" spans="1:34" s="6" customFormat="1" ht="216" customHeight="1" thickTop="1" thickBot="1">
      <c r="A8" s="82">
        <v>4</v>
      </c>
      <c r="B8" s="84" t="s">
        <v>195</v>
      </c>
      <c r="C8" s="84" t="s">
        <v>196</v>
      </c>
      <c r="D8" s="84" t="s">
        <v>197</v>
      </c>
      <c r="E8" s="42">
        <v>2</v>
      </c>
      <c r="F8" s="42">
        <v>1</v>
      </c>
      <c r="G8" s="42">
        <v>3</v>
      </c>
      <c r="H8" s="42">
        <v>3</v>
      </c>
      <c r="I8" s="42">
        <v>1</v>
      </c>
      <c r="J8" s="42">
        <v>2</v>
      </c>
      <c r="K8" s="42" t="s">
        <v>9</v>
      </c>
      <c r="L8" s="42"/>
      <c r="M8" s="42"/>
      <c r="N8" s="42"/>
      <c r="O8" s="42"/>
      <c r="P8" s="42"/>
      <c r="Q8" s="42"/>
      <c r="R8" s="42"/>
      <c r="S8" s="42"/>
      <c r="T8" s="42"/>
      <c r="U8" s="42"/>
      <c r="V8" s="42"/>
      <c r="W8" s="42"/>
      <c r="X8" s="42"/>
      <c r="Y8" s="42"/>
      <c r="Z8" s="42"/>
      <c r="AA8" s="42"/>
      <c r="AB8" s="42"/>
      <c r="AC8" s="42"/>
      <c r="AD8" s="42"/>
      <c r="AE8" s="42"/>
      <c r="AF8" s="42"/>
      <c r="AG8" s="42"/>
      <c r="AH8" s="42"/>
    </row>
    <row r="9" spans="1:34" ht="293.10000000000002" customHeight="1" thickTop="1" thickBot="1">
      <c r="A9" s="82">
        <v>5</v>
      </c>
      <c r="B9" s="84" t="s">
        <v>198</v>
      </c>
      <c r="C9" s="84" t="s">
        <v>199</v>
      </c>
      <c r="D9" s="83" t="s">
        <v>200</v>
      </c>
      <c r="E9" s="42">
        <v>1</v>
      </c>
      <c r="F9" s="42">
        <v>1</v>
      </c>
      <c r="G9" s="42">
        <v>2</v>
      </c>
      <c r="H9" s="42">
        <v>2</v>
      </c>
      <c r="I9" s="42">
        <v>1</v>
      </c>
      <c r="J9" s="42">
        <v>2</v>
      </c>
      <c r="K9" s="42" t="s">
        <v>9</v>
      </c>
      <c r="L9" s="42"/>
      <c r="M9" s="42"/>
      <c r="N9" s="42"/>
      <c r="O9" s="42"/>
      <c r="P9" s="42"/>
      <c r="Q9" s="42"/>
      <c r="R9" s="42"/>
      <c r="S9" s="42"/>
      <c r="T9" s="42"/>
      <c r="U9" s="42"/>
      <c r="V9" s="42"/>
      <c r="W9" s="42"/>
      <c r="X9" s="42"/>
      <c r="Y9" s="42"/>
      <c r="Z9" s="42"/>
      <c r="AA9" s="42"/>
      <c r="AB9" s="42"/>
      <c r="AC9" s="42"/>
      <c r="AD9" s="42"/>
      <c r="AE9" s="42"/>
      <c r="AF9" s="42"/>
      <c r="AG9" s="42"/>
      <c r="AH9" s="42"/>
    </row>
    <row r="10" spans="1:34" ht="22.5" thickTop="1" thickBot="1">
      <c r="A10" s="66"/>
      <c r="B10" s="48"/>
      <c r="C10" s="67" t="s">
        <v>146</v>
      </c>
      <c r="D10" s="68"/>
      <c r="E10" s="9">
        <f t="shared" ref="E10:AH10" si="0">IFERROR(IF(COUNTBLANK(E5:E9)&gt;0,"",SUM(E5:E9)/COUNTIF(E5:E9,"&gt;=0")),"")</f>
        <v>1.6</v>
      </c>
      <c r="F10" s="9">
        <f t="shared" si="0"/>
        <v>1.8</v>
      </c>
      <c r="G10" s="9">
        <f t="shared" si="0"/>
        <v>2.8</v>
      </c>
      <c r="H10" s="9">
        <f t="shared" si="0"/>
        <v>2.8</v>
      </c>
      <c r="I10" s="9">
        <f t="shared" si="0"/>
        <v>1.2</v>
      </c>
      <c r="J10" s="9">
        <f t="shared" si="0"/>
        <v>1.8</v>
      </c>
      <c r="K10" s="9" t="str">
        <f t="shared" si="0"/>
        <v/>
      </c>
      <c r="L10" s="9" t="str">
        <f t="shared" si="0"/>
        <v/>
      </c>
      <c r="M10" s="9" t="str">
        <f t="shared" si="0"/>
        <v/>
      </c>
      <c r="N10" s="9" t="str">
        <f t="shared" si="0"/>
        <v/>
      </c>
      <c r="O10" s="9" t="str">
        <f t="shared" si="0"/>
        <v/>
      </c>
      <c r="P10" s="9" t="str">
        <f t="shared" si="0"/>
        <v/>
      </c>
      <c r="Q10" s="9" t="str">
        <f t="shared" si="0"/>
        <v/>
      </c>
      <c r="R10" s="9" t="str">
        <f t="shared" si="0"/>
        <v/>
      </c>
      <c r="S10" s="9" t="str">
        <f t="shared" si="0"/>
        <v/>
      </c>
      <c r="T10" s="9" t="str">
        <f t="shared" si="0"/>
        <v/>
      </c>
      <c r="U10" s="9" t="str">
        <f t="shared" si="0"/>
        <v/>
      </c>
      <c r="V10" s="9" t="str">
        <f t="shared" si="0"/>
        <v/>
      </c>
      <c r="W10" s="9" t="str">
        <f t="shared" si="0"/>
        <v/>
      </c>
      <c r="X10" s="9" t="str">
        <f t="shared" si="0"/>
        <v/>
      </c>
      <c r="Y10" s="9" t="str">
        <f t="shared" si="0"/>
        <v/>
      </c>
      <c r="Z10" s="9" t="str">
        <f t="shared" si="0"/>
        <v/>
      </c>
      <c r="AA10" s="9" t="str">
        <f t="shared" si="0"/>
        <v/>
      </c>
      <c r="AB10" s="9" t="str">
        <f t="shared" si="0"/>
        <v/>
      </c>
      <c r="AC10" s="9" t="str">
        <f t="shared" si="0"/>
        <v/>
      </c>
      <c r="AD10" s="9" t="str">
        <f t="shared" si="0"/>
        <v/>
      </c>
      <c r="AE10" s="9" t="str">
        <f t="shared" si="0"/>
        <v/>
      </c>
      <c r="AF10" s="9" t="str">
        <f t="shared" si="0"/>
        <v/>
      </c>
      <c r="AG10" s="9" t="str">
        <f t="shared" si="0"/>
        <v/>
      </c>
      <c r="AH10" s="9" t="str">
        <f t="shared" si="0"/>
        <v/>
      </c>
    </row>
    <row r="11" spans="1:34" ht="22.5" thickTop="1" thickBot="1">
      <c r="A11" s="66"/>
      <c r="B11" s="48"/>
      <c r="C11" s="46" t="s">
        <v>147</v>
      </c>
      <c r="D11" s="47"/>
      <c r="E11" s="5" t="str">
        <f>IF(E10="","",IF(E10&lt;1.4,"Low",(IF(AND(E10&gt;=1.4,E10&lt;2.4),"Medium",(IF((AND(E10&gt;=2.4)),"High"))))))</f>
        <v>Medium</v>
      </c>
      <c r="F11" s="5" t="str">
        <f t="shared" ref="F11" si="1">IF(F10="","",IF(F10&lt;1.4,"Low",(IF(AND(F10&gt;=1.4,F10&lt;2.4),"Medium",(IF((AND(F10&gt;=2.4)),"High"))))))</f>
        <v>Medium</v>
      </c>
      <c r="G11" s="5" t="str">
        <f t="shared" ref="G11" si="2">IF(G10="","",IF(G10&lt;1.4,"Low",(IF(AND(G10&gt;=1.4,G10&lt;2.4),"Medium",(IF((AND(G10&gt;=2.4)),"High"))))))</f>
        <v>High</v>
      </c>
      <c r="H11" s="5" t="str">
        <f t="shared" ref="H11" si="3">IF(H10="","",IF(H10&lt;1.4,"Low",(IF(AND(H10&gt;=1.4,H10&lt;2.4),"Medium",(IF((AND(H10&gt;=2.4)),"High"))))))</f>
        <v>High</v>
      </c>
      <c r="I11" s="5" t="str">
        <f t="shared" ref="I11" si="4">IF(I10="","",IF(I10&lt;1.4,"Low",(IF(AND(I10&gt;=1.4,I10&lt;2.4),"Medium",(IF((AND(I10&gt;=2.4)),"High"))))))</f>
        <v>Low</v>
      </c>
      <c r="J11" s="5" t="str">
        <f t="shared" ref="J11" si="5">IF(J10="","",IF(J10&lt;1.4,"Low",(IF(AND(J10&gt;=1.4,J10&lt;2.4),"Medium",(IF((AND(J10&gt;=2.4)),"High"))))))</f>
        <v>Medium</v>
      </c>
      <c r="K11" s="5" t="str">
        <f t="shared" ref="K11" si="6">IF(K10="","",IF(K10&lt;1.4,"Low",(IF(AND(K10&gt;=1.4,K10&lt;2.4),"Medium",(IF((AND(K10&gt;=2.4)),"High"))))))</f>
        <v/>
      </c>
      <c r="L11" s="5" t="str">
        <f t="shared" ref="L11" si="7">IF(L10="","",IF(L10&lt;1.4,"Low",(IF(AND(L10&gt;=1.4,L10&lt;2.4),"Medium",(IF((AND(L10&gt;=2.4)),"High"))))))</f>
        <v/>
      </c>
      <c r="M11" s="5" t="str">
        <f t="shared" ref="M11" si="8">IF(M10="","",IF(M10&lt;1.4,"Low",(IF(AND(M10&gt;=1.4,M10&lt;2.4),"Medium",(IF((AND(M10&gt;=2.4)),"High"))))))</f>
        <v/>
      </c>
      <c r="N11" s="5" t="str">
        <f t="shared" ref="N11" si="9">IF(N10="","",IF(N10&lt;1.4,"Low",(IF(AND(N10&gt;=1.4,N10&lt;2.4),"Medium",(IF((AND(N10&gt;=2.4)),"High"))))))</f>
        <v/>
      </c>
      <c r="O11" s="5" t="str">
        <f t="shared" ref="O11" si="10">IF(O10="","",IF(O10&lt;1.4,"Low",(IF(AND(O10&gt;=1.4,O10&lt;2.4),"Medium",(IF((AND(O10&gt;=2.4)),"High"))))))</f>
        <v/>
      </c>
      <c r="P11" s="5" t="str">
        <f t="shared" ref="P11" si="11">IF(P10="","",IF(P10&lt;1.4,"Low",(IF(AND(P10&gt;=1.4,P10&lt;2.4),"Medium",(IF((AND(P10&gt;=2.4)),"High"))))))</f>
        <v/>
      </c>
      <c r="Q11" s="5" t="str">
        <f t="shared" ref="Q11" si="12">IF(Q10="","",IF(Q10&lt;1.4,"Low",(IF(AND(Q10&gt;=1.4,Q10&lt;2.4),"Medium",(IF((AND(Q10&gt;=2.4)),"High"))))))</f>
        <v/>
      </c>
      <c r="R11" s="5" t="str">
        <f t="shared" ref="R11" si="13">IF(R10="","",IF(R10&lt;1.4,"Low",(IF(AND(R10&gt;=1.4,R10&lt;2.4),"Medium",(IF((AND(R10&gt;=2.4)),"High"))))))</f>
        <v/>
      </c>
      <c r="S11" s="5" t="str">
        <f t="shared" ref="S11" si="14">IF(S10="","",IF(S10&lt;1.4,"Low",(IF(AND(S10&gt;=1.4,S10&lt;2.4),"Medium",(IF((AND(S10&gt;=2.4)),"High"))))))</f>
        <v/>
      </c>
      <c r="T11" s="5" t="str">
        <f t="shared" ref="T11" si="15">IF(T10="","",IF(T10&lt;1.4,"Low",(IF(AND(T10&gt;=1.4,T10&lt;2.4),"Medium",(IF((AND(T10&gt;=2.4)),"High"))))))</f>
        <v/>
      </c>
      <c r="U11" s="5" t="str">
        <f t="shared" ref="U11" si="16">IF(U10="","",IF(U10&lt;1.4,"Low",(IF(AND(U10&gt;=1.4,U10&lt;2.4),"Medium",(IF((AND(U10&gt;=2.4)),"High"))))))</f>
        <v/>
      </c>
      <c r="V11" s="5" t="str">
        <f t="shared" ref="V11" si="17">IF(V10="","",IF(V10&lt;1.4,"Low",(IF(AND(V10&gt;=1.4,V10&lt;2.4),"Medium",(IF((AND(V10&gt;=2.4)),"High"))))))</f>
        <v/>
      </c>
      <c r="W11" s="5" t="str">
        <f t="shared" ref="W11" si="18">IF(W10="","",IF(W10&lt;1.4,"Low",(IF(AND(W10&gt;=1.4,W10&lt;2.4),"Medium",(IF((AND(W10&gt;=2.4)),"High"))))))</f>
        <v/>
      </c>
      <c r="X11" s="5" t="str">
        <f t="shared" ref="X11" si="19">IF(X10="","",IF(X10&lt;1.4,"Low",(IF(AND(X10&gt;=1.4,X10&lt;2.4),"Medium",(IF((AND(X10&gt;=2.4)),"High"))))))</f>
        <v/>
      </c>
      <c r="Y11" s="5" t="str">
        <f t="shared" ref="Y11" si="20">IF(Y10="","",IF(Y10&lt;1.4,"Low",(IF(AND(Y10&gt;=1.4,Y10&lt;2.4),"Medium",(IF((AND(Y10&gt;=2.4)),"High"))))))</f>
        <v/>
      </c>
      <c r="Z11" s="5" t="str">
        <f t="shared" ref="Z11" si="21">IF(Z10="","",IF(Z10&lt;1.4,"Low",(IF(AND(Z10&gt;=1.4,Z10&lt;2.4),"Medium",(IF((AND(Z10&gt;=2.4)),"High"))))))</f>
        <v/>
      </c>
      <c r="AA11" s="5" t="str">
        <f t="shared" ref="AA11" si="22">IF(AA10="","",IF(AA10&lt;1.4,"Low",(IF(AND(AA10&gt;=1.4,AA10&lt;2.4),"Medium",(IF((AND(AA10&gt;=2.4)),"High"))))))</f>
        <v/>
      </c>
      <c r="AB11" s="5" t="str">
        <f t="shared" ref="AB11" si="23">IF(AB10="","",IF(AB10&lt;1.4,"Low",(IF(AND(AB10&gt;=1.4,AB10&lt;2.4),"Medium",(IF((AND(AB10&gt;=2.4)),"High"))))))</f>
        <v/>
      </c>
      <c r="AC11" s="5" t="str">
        <f t="shared" ref="AC11" si="24">IF(AC10="","",IF(AC10&lt;1.4,"Low",(IF(AND(AC10&gt;=1.4,AC10&lt;2.4),"Medium",(IF((AND(AC10&gt;=2.4)),"High"))))))</f>
        <v/>
      </c>
      <c r="AD11" s="5" t="str">
        <f t="shared" ref="AD11" si="25">IF(AD10="","",IF(AD10&lt;1.4,"Low",(IF(AND(AD10&gt;=1.4,AD10&lt;2.4),"Medium",(IF((AND(AD10&gt;=2.4)),"High"))))))</f>
        <v/>
      </c>
      <c r="AE11" s="5" t="str">
        <f t="shared" ref="AE11" si="26">IF(AE10="","",IF(AE10&lt;1.4,"Low",(IF(AND(AE10&gt;=1.4,AE10&lt;2.4),"Medium",(IF((AND(AE10&gt;=2.4)),"High"))))))</f>
        <v/>
      </c>
      <c r="AF11" s="5" t="str">
        <f t="shared" ref="AF11" si="27">IF(AF10="","",IF(AF10&lt;1.4,"Low",(IF(AND(AF10&gt;=1.4,AF10&lt;2.4),"Medium",(IF((AND(AF10&gt;=2.4)),"High"))))))</f>
        <v/>
      </c>
      <c r="AG11" s="5" t="str">
        <f t="shared" ref="AG11" si="28">IF(AG10="","",IF(AG10&lt;1.4,"Low",(IF(AND(AG10&gt;=1.4,AG10&lt;2.4),"Medium",(IF((AND(AG10&gt;=2.4)),"High"))))))</f>
        <v/>
      </c>
      <c r="AH11" s="5" t="str">
        <f t="shared" ref="AH11" si="29">IF(AH10="","",IF(AH10&lt;1.4,"Low",(IF(AND(AH10&gt;=1.4,AH10&lt;2.4),"Medium",(IF((AND(AH10&gt;=2.4)),"High"))))))</f>
        <v/>
      </c>
    </row>
    <row r="12" spans="1:34" ht="21.75" thickBot="1">
      <c r="A12" s="66"/>
      <c r="B12" s="48"/>
      <c r="C12" s="48"/>
      <c r="D12" s="48"/>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row>
    <row r="13" spans="1:34" ht="24.75" thickTop="1" thickBot="1">
      <c r="A13" s="55"/>
      <c r="B13" s="55"/>
      <c r="C13" s="155" t="s">
        <v>148</v>
      </c>
      <c r="D13" s="156"/>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row>
    <row r="14" spans="1:34" ht="22.5" thickTop="1" thickBot="1">
      <c r="A14" s="55"/>
      <c r="B14" s="55"/>
      <c r="D14" s="97" t="s">
        <v>149</v>
      </c>
      <c r="E14" s="96" t="str">
        <f>IF(E13&gt;0,"Add justification","")</f>
        <v/>
      </c>
      <c r="F14" s="96"/>
      <c r="G14" s="96" t="str">
        <f t="shared" ref="G14:AH14" si="30">IF(G13&gt;0,"Add justification","")</f>
        <v/>
      </c>
      <c r="H14" s="96" t="str">
        <f t="shared" si="30"/>
        <v/>
      </c>
      <c r="I14" s="96" t="str">
        <f t="shared" si="30"/>
        <v/>
      </c>
      <c r="J14" s="96" t="str">
        <f t="shared" si="30"/>
        <v/>
      </c>
      <c r="K14" s="96" t="str">
        <f t="shared" si="30"/>
        <v/>
      </c>
      <c r="L14" s="96" t="str">
        <f t="shared" si="30"/>
        <v/>
      </c>
      <c r="M14" s="96" t="str">
        <f t="shared" si="30"/>
        <v/>
      </c>
      <c r="N14" s="96" t="str">
        <f t="shared" si="30"/>
        <v/>
      </c>
      <c r="O14" s="96" t="str">
        <f t="shared" si="30"/>
        <v/>
      </c>
      <c r="P14" s="96" t="str">
        <f t="shared" si="30"/>
        <v/>
      </c>
      <c r="Q14" s="96" t="str">
        <f t="shared" si="30"/>
        <v/>
      </c>
      <c r="R14" s="96" t="str">
        <f t="shared" si="30"/>
        <v/>
      </c>
      <c r="S14" s="96" t="str">
        <f t="shared" si="30"/>
        <v/>
      </c>
      <c r="T14" s="96" t="str">
        <f t="shared" si="30"/>
        <v/>
      </c>
      <c r="U14" s="96" t="str">
        <f t="shared" si="30"/>
        <v/>
      </c>
      <c r="V14" s="96" t="str">
        <f t="shared" si="30"/>
        <v/>
      </c>
      <c r="W14" s="96" t="str">
        <f t="shared" si="30"/>
        <v/>
      </c>
      <c r="X14" s="96" t="str">
        <f t="shared" si="30"/>
        <v/>
      </c>
      <c r="Y14" s="96" t="str">
        <f t="shared" si="30"/>
        <v/>
      </c>
      <c r="Z14" s="96" t="str">
        <f t="shared" si="30"/>
        <v/>
      </c>
      <c r="AA14" s="96" t="str">
        <f t="shared" si="30"/>
        <v/>
      </c>
      <c r="AB14" s="96" t="str">
        <f t="shared" si="30"/>
        <v/>
      </c>
      <c r="AC14" s="96" t="str">
        <f t="shared" si="30"/>
        <v/>
      </c>
      <c r="AD14" s="96" t="str">
        <f t="shared" si="30"/>
        <v/>
      </c>
      <c r="AE14" s="96" t="str">
        <f t="shared" si="30"/>
        <v/>
      </c>
      <c r="AF14" s="96" t="str">
        <f t="shared" si="30"/>
        <v/>
      </c>
      <c r="AG14" s="96" t="str">
        <f t="shared" si="30"/>
        <v/>
      </c>
      <c r="AH14" s="96" t="str">
        <f t="shared" si="30"/>
        <v/>
      </c>
    </row>
    <row r="15" spans="1:34" ht="24.75" thickTop="1" thickBot="1">
      <c r="A15" s="55"/>
      <c r="B15" s="55"/>
      <c r="C15" s="153" t="s">
        <v>151</v>
      </c>
      <c r="D15" s="154"/>
      <c r="E15" s="5" t="s">
        <v>5</v>
      </c>
      <c r="F15" s="5" t="s">
        <v>7</v>
      </c>
      <c r="G15" s="5" t="s">
        <v>3</v>
      </c>
      <c r="H15" s="5" t="s">
        <v>3</v>
      </c>
      <c r="I15" s="5"/>
      <c r="J15" s="5"/>
      <c r="K15" s="5"/>
      <c r="L15" s="5"/>
      <c r="M15" s="5"/>
      <c r="N15" s="5"/>
      <c r="O15" s="5"/>
      <c r="P15" s="5"/>
      <c r="Q15" s="5"/>
      <c r="R15" s="5"/>
      <c r="S15" s="5"/>
      <c r="T15" s="5"/>
      <c r="U15" s="5"/>
      <c r="V15" s="5"/>
      <c r="W15" s="5"/>
      <c r="X15" s="5"/>
      <c r="Y15" s="5"/>
      <c r="Z15" s="5"/>
      <c r="AA15" s="5"/>
      <c r="AB15" s="5"/>
      <c r="AC15" s="5"/>
      <c r="AD15" s="5"/>
      <c r="AE15" s="5"/>
      <c r="AF15" s="5"/>
      <c r="AG15" s="5"/>
      <c r="AH15" s="5"/>
    </row>
    <row r="16" spans="1:34" ht="409.6" thickTop="1" thickBot="1">
      <c r="A16" s="55"/>
      <c r="B16" s="55"/>
      <c r="D16" s="97" t="s">
        <v>152</v>
      </c>
      <c r="E16" s="96" t="s">
        <v>153</v>
      </c>
      <c r="F16" s="96" t="s">
        <v>154</v>
      </c>
      <c r="G16" s="96" t="s">
        <v>153</v>
      </c>
      <c r="H16" s="96" t="s">
        <v>153</v>
      </c>
      <c r="I16" s="96" t="s">
        <v>150</v>
      </c>
      <c r="J16" s="96" t="s">
        <v>170</v>
      </c>
      <c r="K16" s="96"/>
      <c r="L16" s="96"/>
      <c r="M16" s="96"/>
      <c r="N16" s="96"/>
      <c r="O16" s="96"/>
      <c r="P16" s="96"/>
      <c r="Q16" s="96"/>
      <c r="R16" s="96"/>
      <c r="S16" s="96"/>
      <c r="T16" s="96"/>
      <c r="U16" s="96"/>
      <c r="V16" s="96"/>
      <c r="W16" s="96"/>
      <c r="X16" s="96"/>
      <c r="Y16" s="96"/>
      <c r="Z16" s="96"/>
      <c r="AA16" s="96"/>
      <c r="AB16" s="96"/>
      <c r="AC16" s="96"/>
      <c r="AD16" s="96"/>
      <c r="AE16" s="96"/>
      <c r="AF16" s="96"/>
      <c r="AG16" s="96"/>
      <c r="AH16" s="96"/>
    </row>
  </sheetData>
  <sheetProtection formatCells="0" formatColumns="0" formatRows="0" insertColumns="0" insertRows="0" insertHyperlinks="0" deleteColumns="0" deleteRows="0" sort="0"/>
  <protectedRanges>
    <protectedRange algorithmName="SHA-512" hashValue="TR5oMIz8+Sm8e/PdmAnLzFOabawUkLHFiNdol1J79s4/y6+LDyUYrVwQy+K9nLInDV87+YxALU8chBBUFv07Eg==" saltValue="lU+9RAH7AP75CvDx2efwlw==" spinCount="100000" sqref="E14 G14:AH14" name="Range1"/>
  </protectedRanges>
  <mergeCells count="3">
    <mergeCell ref="C13:D13"/>
    <mergeCell ref="C15:D15"/>
    <mergeCell ref="A4:B4"/>
  </mergeCells>
  <conditionalFormatting sqref="E5:AH9">
    <cfRule type="cellIs" dxfId="5" priority="1" operator="equal">
      <formula>1</formula>
    </cfRule>
    <cfRule type="cellIs" dxfId="4" priority="2" operator="equal">
      <formula>2</formula>
    </cfRule>
    <cfRule type="cellIs" dxfId="3" priority="3" operator="equal">
      <formula>3</formula>
    </cfRule>
  </conditionalFormatting>
  <pageMargins left="0.7" right="0.7" top="0.78740157499999996" bottom="0.78740157499999996" header="0.3" footer="0.3"/>
  <pageSetup paperSize="9" orientation="portrait" verticalDpi="1200" r:id="rId1"/>
  <headerFooter>
    <oddFooter>&amp;C&amp;1#&amp;"Calibri"&amp;10&amp;K000000Confidential</oddFooter>
  </headerFooter>
  <legacy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163D6F96-F715-4834-B43E-949B2604359A}">
          <x14:formula1>
            <xm:f>'Dropdown lists'!$G$2:$G$5</xm:f>
          </x14:formula1>
          <xm:sqref>E6:AH6 E8:AH8</xm:sqref>
        </x14:dataValidation>
        <x14:dataValidation type="list" allowBlank="1" showInputMessage="1" showErrorMessage="1" xr:uid="{D2992071-DAC6-4336-A6BD-252C8315EB1D}">
          <x14:formula1>
            <xm:f>'Dropdown lists'!$A$2:$A$4</xm:f>
          </x14:formula1>
          <xm:sqref>E13:AH13 E15:AH15</xm:sqref>
        </x14:dataValidation>
        <x14:dataValidation type="list" allowBlank="1" showInputMessage="1" showErrorMessage="1" xr:uid="{83EB9E83-AA71-4B4F-BB48-2FFC91D474E3}">
          <x14:formula1>
            <xm:f>'Dropdown lists'!$B$2:$B$5</xm:f>
          </x14:formula1>
          <xm:sqref>E5:AH5 E7:AH7 E9:AH9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2E601-4162-48C4-807F-CAA11C382679}">
  <sheetPr codeName="Sheet11">
    <tabColor rgb="FF00B050"/>
  </sheetPr>
  <dimension ref="A1:BL14"/>
  <sheetViews>
    <sheetView showGridLines="0" topLeftCell="A3" zoomScale="55" zoomScaleNormal="55" workbookViewId="0">
      <pane xSplit="4" topLeftCell="F1" activePane="topRight" state="frozen"/>
      <selection pane="topRight" activeCell="C5" sqref="C5"/>
      <selection activeCell="B9" sqref="B9"/>
    </sheetView>
  </sheetViews>
  <sheetFormatPr defaultColWidth="10.7109375" defaultRowHeight="15"/>
  <cols>
    <col min="1" max="1" width="7.28515625" customWidth="1"/>
    <col min="2" max="2" width="24.5703125" customWidth="1"/>
    <col min="3" max="3" width="152.85546875" customWidth="1"/>
    <col min="4" max="4" width="63.42578125" customWidth="1"/>
    <col min="5" max="5" width="32.140625" customWidth="1"/>
    <col min="6" max="6" width="34.7109375" customWidth="1"/>
    <col min="7" max="7" width="23.42578125" customWidth="1"/>
    <col min="8" max="8" width="26.28515625" customWidth="1"/>
    <col min="9" max="9" width="22.140625" customWidth="1"/>
    <col min="10" max="10" width="28.85546875" customWidth="1"/>
    <col min="11" max="11" width="20" customWidth="1"/>
    <col min="12" max="12" width="25.42578125" bestFit="1" customWidth="1"/>
    <col min="13" max="13" width="23.28515625" customWidth="1"/>
    <col min="14" max="14" width="25.42578125" bestFit="1" customWidth="1"/>
    <col min="15" max="15" width="27.42578125" customWidth="1"/>
    <col min="16" max="16" width="25.42578125" bestFit="1" customWidth="1"/>
    <col min="17" max="17" width="19.85546875" customWidth="1"/>
    <col min="18" max="18" width="25.42578125" bestFit="1" customWidth="1"/>
    <col min="19" max="19" width="6.85546875" hidden="1" customWidth="1"/>
    <col min="20" max="63" width="9.28515625" hidden="1" customWidth="1"/>
    <col min="64" max="64" width="22" hidden="1" customWidth="1"/>
  </cols>
  <sheetData>
    <row r="1" spans="1:63" ht="18.75">
      <c r="A1" s="10" t="s">
        <v>201</v>
      </c>
    </row>
    <row r="2" spans="1:63" ht="15.75" thickBot="1"/>
    <row r="3" spans="1:63" ht="78.75" customHeight="1" thickBot="1">
      <c r="A3" s="1"/>
      <c r="B3" s="10" t="str">
        <f>[1]Processes!B3</f>
        <v>Audit No.</v>
      </c>
      <c r="C3" s="10" t="str">
        <f>'Audit conclusion'!$D$3</f>
        <v>2025-045 Cyber and Information Security</v>
      </c>
      <c r="D3" s="4" t="s">
        <v>128</v>
      </c>
      <c r="E3" s="85" t="str">
        <f ca="1">'Internal People &amp; Staff'!E3</f>
        <v xml:space="preserve">AU-109-02-Cyber &amp; IS Strategy and Design </v>
      </c>
      <c r="F3" s="101" t="s">
        <v>202</v>
      </c>
      <c r="G3" s="85" t="str">
        <f ca="1">'Internal People &amp; Staff'!F3</f>
        <v>AU-109-08-ICT Incident Management</v>
      </c>
      <c r="H3" s="101" t="s">
        <v>202</v>
      </c>
      <c r="I3" s="85" t="str">
        <f ca="1">'Internal People &amp; Staff'!G3</f>
        <v>AU-109-09-Cyber &amp; IS Prevention</v>
      </c>
      <c r="J3" s="101" t="s">
        <v>202</v>
      </c>
      <c r="K3" s="85" t="str">
        <f ca="1">'Internal People &amp; Staff'!H3</f>
        <v>AU-109-10-Cyber &amp; IS Detection</v>
      </c>
      <c r="L3" s="85" t="s">
        <v>202</v>
      </c>
      <c r="M3" s="85" t="str">
        <f ca="1">'Internal People &amp; Staff'!I3</f>
        <v>AU-109-11-Cyber &amp; IS Control functions (2LoD)</v>
      </c>
      <c r="N3" s="85" t="s">
        <v>202</v>
      </c>
      <c r="O3" s="85" t="str">
        <f ca="1">'Internal People &amp; Staff'!J3</f>
        <v>AU-109-12-Threat Intelligence</v>
      </c>
      <c r="P3" s="85" t="s">
        <v>202</v>
      </c>
      <c r="Q3" s="85" t="str">
        <f ca="1">'Internal People &amp; Staff'!K3</f>
        <v>AU-121-04-CSDR Cyber &amp; IS</v>
      </c>
      <c r="R3" s="85" t="s">
        <v>202</v>
      </c>
      <c r="S3" s="85">
        <f ca="1">'Internal People &amp; Staff'!L3</f>
        <v>0</v>
      </c>
      <c r="T3" s="85" t="s">
        <v>202</v>
      </c>
      <c r="U3" s="85">
        <f ca="1">'Internal People &amp; Staff'!M3</f>
        <v>0</v>
      </c>
      <c r="V3" s="85" t="s">
        <v>202</v>
      </c>
      <c r="W3" s="85">
        <f ca="1">'Internal People &amp; Staff'!N3</f>
        <v>0</v>
      </c>
      <c r="X3" s="85" t="s">
        <v>202</v>
      </c>
      <c r="Y3" s="85">
        <f ca="1">'Internal People &amp; Staff'!O3</f>
        <v>0</v>
      </c>
      <c r="Z3" s="85" t="s">
        <v>202</v>
      </c>
      <c r="AA3" s="85">
        <f ca="1">'Internal People &amp; Staff'!P3</f>
        <v>0</v>
      </c>
      <c r="AB3" s="85" t="s">
        <v>202</v>
      </c>
      <c r="AC3" s="85">
        <f ca="1">'Internal People &amp; Staff'!Q3</f>
        <v>0</v>
      </c>
      <c r="AD3" s="85" t="s">
        <v>202</v>
      </c>
      <c r="AE3" s="85">
        <f ca="1">'Internal People &amp; Staff'!R3</f>
        <v>0</v>
      </c>
      <c r="AF3" s="85" t="s">
        <v>202</v>
      </c>
      <c r="AG3" s="85">
        <f ca="1">'Internal People &amp; Staff'!S3</f>
        <v>0</v>
      </c>
      <c r="AH3" s="85" t="s">
        <v>202</v>
      </c>
      <c r="AI3" s="85">
        <f ca="1">'Internal People &amp; Staff'!T3</f>
        <v>0</v>
      </c>
      <c r="AJ3" s="85" t="s">
        <v>202</v>
      </c>
      <c r="AK3" s="85">
        <f ca="1">'Internal People &amp; Staff'!U3</f>
        <v>0</v>
      </c>
      <c r="AL3" s="85" t="s">
        <v>202</v>
      </c>
      <c r="AM3" s="85">
        <f ca="1">'Internal People &amp; Staff'!V3</f>
        <v>0</v>
      </c>
      <c r="AN3" s="85" t="s">
        <v>202</v>
      </c>
      <c r="AO3" s="85">
        <f ca="1">'Internal People &amp; Staff'!W3</f>
        <v>0</v>
      </c>
      <c r="AP3" s="85" t="s">
        <v>202</v>
      </c>
      <c r="AQ3" s="85">
        <f ca="1">'Internal People &amp; Staff'!X3</f>
        <v>0</v>
      </c>
      <c r="AR3" s="85" t="s">
        <v>202</v>
      </c>
      <c r="AS3" s="85">
        <f ca="1">'Internal People &amp; Staff'!Y3</f>
        <v>0</v>
      </c>
      <c r="AT3" s="85" t="s">
        <v>202</v>
      </c>
      <c r="AU3" s="85">
        <f ca="1">'Internal People &amp; Staff'!Z3</f>
        <v>0</v>
      </c>
      <c r="AV3" s="85" t="s">
        <v>202</v>
      </c>
      <c r="AW3" s="85">
        <f ca="1">'Internal People &amp; Staff'!AA3</f>
        <v>0</v>
      </c>
      <c r="AX3" s="85" t="s">
        <v>202</v>
      </c>
      <c r="AY3" s="85">
        <f ca="1">'Internal People &amp; Staff'!AB3</f>
        <v>0</v>
      </c>
      <c r="AZ3" s="85" t="s">
        <v>202</v>
      </c>
      <c r="BA3" s="85">
        <f ca="1">'Internal People &amp; Staff'!AC3</f>
        <v>0</v>
      </c>
      <c r="BB3" s="85" t="s">
        <v>202</v>
      </c>
      <c r="BC3" s="85">
        <f ca="1">'Internal People &amp; Staff'!AD3</f>
        <v>0</v>
      </c>
      <c r="BD3" s="85" t="s">
        <v>202</v>
      </c>
      <c r="BE3" s="85">
        <f ca="1">'Internal People &amp; Staff'!AE3</f>
        <v>0</v>
      </c>
      <c r="BF3" s="85" t="s">
        <v>202</v>
      </c>
      <c r="BG3" s="85">
        <f ca="1">'Internal People &amp; Staff'!AF3</f>
        <v>0</v>
      </c>
      <c r="BH3" s="85" t="s">
        <v>202</v>
      </c>
      <c r="BI3" s="85">
        <f ca="1">'Internal People &amp; Staff'!AG3</f>
        <v>0</v>
      </c>
      <c r="BJ3" s="85" t="s">
        <v>202</v>
      </c>
      <c r="BK3" s="85">
        <f ca="1">'Internal People &amp; Staff'!AH3</f>
        <v>0</v>
      </c>
    </row>
    <row r="4" spans="1:63" ht="16.5" customHeight="1" thickTop="1" thickBot="1">
      <c r="A4" s="161" t="s">
        <v>129</v>
      </c>
      <c r="B4" s="162"/>
      <c r="C4" s="80"/>
      <c r="D4" s="80"/>
      <c r="E4" s="81" t="s">
        <v>130</v>
      </c>
      <c r="F4" s="81"/>
      <c r="G4" s="81" t="s">
        <v>130</v>
      </c>
      <c r="H4" s="81"/>
      <c r="I4" s="81" t="s">
        <v>130</v>
      </c>
      <c r="J4" s="81"/>
      <c r="K4" s="81" t="s">
        <v>130</v>
      </c>
      <c r="L4" s="81"/>
      <c r="M4" s="81" t="s">
        <v>130</v>
      </c>
      <c r="N4" s="81"/>
      <c r="O4" s="81" t="s">
        <v>130</v>
      </c>
      <c r="P4" s="81"/>
      <c r="Q4" s="81" t="s">
        <v>130</v>
      </c>
      <c r="R4" s="81"/>
      <c r="S4" s="81" t="s">
        <v>130</v>
      </c>
      <c r="T4" s="81"/>
      <c r="U4" s="81" t="s">
        <v>130</v>
      </c>
      <c r="V4" s="81"/>
      <c r="W4" s="81" t="s">
        <v>130</v>
      </c>
      <c r="X4" s="81"/>
      <c r="Y4" s="81" t="s">
        <v>130</v>
      </c>
      <c r="Z4" s="81"/>
      <c r="AA4" s="81" t="s">
        <v>130</v>
      </c>
      <c r="AB4" s="81"/>
      <c r="AC4" s="81" t="s">
        <v>130</v>
      </c>
      <c r="AD4" s="81"/>
      <c r="AE4" s="81" t="s">
        <v>130</v>
      </c>
      <c r="AF4" s="81"/>
      <c r="AG4" s="81" t="s">
        <v>130</v>
      </c>
      <c r="AH4" s="81"/>
      <c r="AI4" s="81" t="s">
        <v>130</v>
      </c>
      <c r="AJ4" s="81"/>
      <c r="AK4" s="81" t="s">
        <v>130</v>
      </c>
      <c r="AL4" s="81"/>
      <c r="AM4" s="81" t="s">
        <v>130</v>
      </c>
      <c r="AN4" s="81"/>
      <c r="AO4" s="81" t="s">
        <v>130</v>
      </c>
      <c r="AP4" s="81"/>
      <c r="AQ4" s="81" t="s">
        <v>130</v>
      </c>
      <c r="AR4" s="81"/>
      <c r="AS4" s="81" t="s">
        <v>130</v>
      </c>
      <c r="AT4" s="81"/>
      <c r="AU4" s="81" t="s">
        <v>130</v>
      </c>
      <c r="AV4" s="81"/>
      <c r="AW4" s="81" t="s">
        <v>130</v>
      </c>
      <c r="AX4" s="81"/>
      <c r="AY4" s="81" t="s">
        <v>130</v>
      </c>
      <c r="AZ4" s="81"/>
      <c r="BA4" s="81" t="s">
        <v>130</v>
      </c>
      <c r="BB4" s="81"/>
      <c r="BC4" s="81" t="s">
        <v>130</v>
      </c>
      <c r="BD4" s="81"/>
      <c r="BE4" s="81" t="s">
        <v>130</v>
      </c>
      <c r="BF4" s="81"/>
      <c r="BG4" s="81" t="s">
        <v>130</v>
      </c>
      <c r="BH4" s="81"/>
      <c r="BI4" s="81" t="s">
        <v>130</v>
      </c>
      <c r="BJ4" s="81"/>
      <c r="BK4" s="81" t="s">
        <v>130</v>
      </c>
    </row>
    <row r="5" spans="1:63" ht="266.25" customHeight="1" thickTop="1" thickBot="1">
      <c r="A5" s="82">
        <v>1</v>
      </c>
      <c r="B5" s="99" t="s">
        <v>203</v>
      </c>
      <c r="C5" s="100" t="s">
        <v>204</v>
      </c>
      <c r="D5" s="99" t="s">
        <v>205</v>
      </c>
      <c r="E5" s="42">
        <v>1</v>
      </c>
      <c r="F5" s="137" t="s">
        <v>206</v>
      </c>
      <c r="G5" s="42">
        <v>1</v>
      </c>
      <c r="H5" s="137" t="s">
        <v>207</v>
      </c>
      <c r="I5" s="42">
        <v>2</v>
      </c>
      <c r="J5" s="137" t="s">
        <v>208</v>
      </c>
      <c r="K5" s="42">
        <v>2</v>
      </c>
      <c r="L5" s="137" t="s">
        <v>209</v>
      </c>
      <c r="M5" s="42">
        <v>1</v>
      </c>
      <c r="N5" s="137" t="s">
        <v>210</v>
      </c>
      <c r="O5" s="42">
        <v>2</v>
      </c>
      <c r="P5" s="137" t="s">
        <v>211</v>
      </c>
      <c r="Q5" s="42" t="s">
        <v>94</v>
      </c>
      <c r="R5" s="137"/>
      <c r="S5" s="42"/>
      <c r="T5" s="42" t="str">
        <f>IF(S5&gt;0,"Add justification","")</f>
        <v/>
      </c>
      <c r="U5" s="42"/>
      <c r="V5" s="42" t="str">
        <f>IF(U5&gt;0,"Add justification","")</f>
        <v/>
      </c>
      <c r="W5" s="42"/>
      <c r="X5" s="42" t="str">
        <f>IF(W5&gt;0,"Add justification","")</f>
        <v/>
      </c>
      <c r="Y5" s="42"/>
      <c r="Z5" s="42" t="str">
        <f>IF(Y5&gt;0,"Add justification","")</f>
        <v/>
      </c>
      <c r="AA5" s="42"/>
      <c r="AB5" s="42" t="str">
        <f>IF(AA5&gt;0,"Add justification","")</f>
        <v/>
      </c>
      <c r="AC5" s="42"/>
      <c r="AD5" s="42" t="str">
        <f>IF(AC5&gt;0,"Add justification","")</f>
        <v/>
      </c>
      <c r="AE5" s="42"/>
      <c r="AF5" s="42" t="str">
        <f>IF(AE5&gt;0,"Add justification","")</f>
        <v/>
      </c>
      <c r="AG5" s="42"/>
      <c r="AH5" s="42" t="str">
        <f>IF(AG5&gt;0,"Add justification","")</f>
        <v/>
      </c>
      <c r="AI5" s="42"/>
      <c r="AJ5" s="42" t="str">
        <f>IF(AI5&gt;0,"Add justification","")</f>
        <v/>
      </c>
      <c r="AK5" s="42"/>
      <c r="AL5" s="42" t="str">
        <f>IF(AK5&gt;0,"Add justification","")</f>
        <v/>
      </c>
      <c r="AM5" s="42"/>
      <c r="AN5" s="42" t="str">
        <f>IF(AM5&gt;0,"Add justification","")</f>
        <v/>
      </c>
      <c r="AO5" s="42"/>
      <c r="AP5" s="42" t="str">
        <f>IF(AO5&gt;0,"Add justification","")</f>
        <v/>
      </c>
      <c r="AQ5" s="42"/>
      <c r="AR5" s="42" t="str">
        <f>IF(AQ5&gt;0,"Add justification","")</f>
        <v/>
      </c>
      <c r="AS5" s="42"/>
      <c r="AT5" s="42" t="str">
        <f>IF(AS5&gt;0,"Add justification","")</f>
        <v/>
      </c>
      <c r="AU5" s="42"/>
      <c r="AV5" s="42" t="str">
        <f>IF(AU5&gt;0,"Add justification","")</f>
        <v/>
      </c>
      <c r="AW5" s="42"/>
      <c r="AX5" s="42" t="str">
        <f>IF(AW5&gt;0,"Add justification","")</f>
        <v/>
      </c>
      <c r="AY5" s="42"/>
      <c r="AZ5" s="42" t="str">
        <f>IF(AY5&gt;0,"Add justification","")</f>
        <v/>
      </c>
      <c r="BA5" s="42"/>
      <c r="BB5" s="42" t="str">
        <f>IF(BA5&gt;0,"Add justification","")</f>
        <v/>
      </c>
      <c r="BC5" s="42"/>
      <c r="BD5" s="42" t="str">
        <f>IF(BC5&gt;0,"Add justification","")</f>
        <v/>
      </c>
      <c r="BE5" s="42"/>
      <c r="BF5" s="42" t="str">
        <f>IF(BE5&gt;0,"Add justification","")</f>
        <v/>
      </c>
      <c r="BG5" s="42"/>
      <c r="BH5" s="42" t="str">
        <f>IF(BG5&gt;0,"Add justification","")</f>
        <v/>
      </c>
      <c r="BI5" s="42"/>
      <c r="BJ5" s="42" t="str">
        <f>IF(BI5&gt;0,"Add justification","")</f>
        <v/>
      </c>
      <c r="BK5" s="42"/>
    </row>
    <row r="6" spans="1:63" ht="208.5" customHeight="1" thickTop="1" thickBot="1">
      <c r="A6" s="82">
        <v>2</v>
      </c>
      <c r="B6" s="100" t="s">
        <v>212</v>
      </c>
      <c r="C6" s="100" t="s">
        <v>213</v>
      </c>
      <c r="D6" s="100" t="s">
        <v>214</v>
      </c>
      <c r="E6" s="42">
        <v>1</v>
      </c>
      <c r="F6" s="137" t="s">
        <v>215</v>
      </c>
      <c r="G6" s="42">
        <v>1</v>
      </c>
      <c r="H6" s="137" t="s">
        <v>207</v>
      </c>
      <c r="I6" s="42">
        <v>1</v>
      </c>
      <c r="J6" s="137" t="s">
        <v>215</v>
      </c>
      <c r="K6" s="42">
        <v>1</v>
      </c>
      <c r="L6" s="137" t="s">
        <v>215</v>
      </c>
      <c r="M6" s="42">
        <v>1</v>
      </c>
      <c r="N6" s="137" t="s">
        <v>216</v>
      </c>
      <c r="O6" s="42">
        <v>1</v>
      </c>
      <c r="P6" s="137" t="s">
        <v>215</v>
      </c>
      <c r="Q6" s="42" t="s">
        <v>94</v>
      </c>
      <c r="R6" s="137"/>
      <c r="S6" s="42"/>
      <c r="T6" s="42" t="str">
        <f>IF(S6&gt;0,"Add justification","")</f>
        <v/>
      </c>
      <c r="U6" s="42"/>
      <c r="V6" s="42" t="str">
        <f>IF(U6&gt;0,"Add justification","")</f>
        <v/>
      </c>
      <c r="W6" s="42"/>
      <c r="X6" s="42" t="str">
        <f>IF(W6&gt;0,"Add justification","")</f>
        <v/>
      </c>
      <c r="Y6" s="42"/>
      <c r="Z6" s="42" t="str">
        <f>IF(Y6&gt;0,"Add justification","")</f>
        <v/>
      </c>
      <c r="AA6" s="42"/>
      <c r="AB6" s="42" t="str">
        <f>IF(AA6&gt;0,"Add justification","")</f>
        <v/>
      </c>
      <c r="AC6" s="42"/>
      <c r="AD6" s="42" t="str">
        <f>IF(AC6&gt;0,"Add justification","")</f>
        <v/>
      </c>
      <c r="AE6" s="42"/>
      <c r="AF6" s="42" t="str">
        <f>IF(AE6&gt;0,"Add justification","")</f>
        <v/>
      </c>
      <c r="AG6" s="42"/>
      <c r="AH6" s="42" t="str">
        <f>IF(AG6&gt;0,"Add justification","")</f>
        <v/>
      </c>
      <c r="AI6" s="42"/>
      <c r="AJ6" s="42" t="str">
        <f>IF(AI6&gt;0,"Add justification","")</f>
        <v/>
      </c>
      <c r="AK6" s="42"/>
      <c r="AL6" s="42" t="str">
        <f>IF(AK6&gt;0,"Add justification","")</f>
        <v/>
      </c>
      <c r="AM6" s="42"/>
      <c r="AN6" s="42" t="str">
        <f>IF(AM6&gt;0,"Add justification","")</f>
        <v/>
      </c>
      <c r="AO6" s="42"/>
      <c r="AP6" s="42" t="str">
        <f>IF(AO6&gt;0,"Add justification","")</f>
        <v/>
      </c>
      <c r="AQ6" s="42"/>
      <c r="AR6" s="42" t="str">
        <f>IF(AQ6&gt;0,"Add justification","")</f>
        <v/>
      </c>
      <c r="AS6" s="42"/>
      <c r="AT6" s="42" t="str">
        <f>IF(AS6&gt;0,"Add justification","")</f>
        <v/>
      </c>
      <c r="AU6" s="42"/>
      <c r="AV6" s="42" t="str">
        <f>IF(AU6&gt;0,"Add justification","")</f>
        <v/>
      </c>
      <c r="AW6" s="42"/>
      <c r="AX6" s="42" t="str">
        <f>IF(AW6&gt;0,"Add justification","")</f>
        <v/>
      </c>
      <c r="AY6" s="42"/>
      <c r="AZ6" s="42" t="str">
        <f>IF(AY6&gt;0,"Add justification","")</f>
        <v/>
      </c>
      <c r="BA6" s="42"/>
      <c r="BB6" s="42" t="str">
        <f>IF(BA6&gt;0,"Add justification","")</f>
        <v/>
      </c>
      <c r="BC6" s="42"/>
      <c r="BD6" s="42" t="str">
        <f>IF(BC6&gt;0,"Add justification","")</f>
        <v/>
      </c>
      <c r="BE6" s="42"/>
      <c r="BF6" s="42" t="str">
        <f>IF(BE6&gt;0,"Add justification","")</f>
        <v/>
      </c>
      <c r="BG6" s="42"/>
      <c r="BH6" s="42" t="str">
        <f>IF(BG6&gt;0,"Add justification","")</f>
        <v/>
      </c>
      <c r="BI6" s="42"/>
      <c r="BJ6" s="42" t="str">
        <f>IF(BI6&gt;0,"Add justification","")</f>
        <v/>
      </c>
      <c r="BK6" s="42"/>
    </row>
    <row r="7" spans="1:63" s="6" customFormat="1" ht="138.75" customHeight="1" thickTop="1" thickBot="1">
      <c r="A7" s="82">
        <v>3</v>
      </c>
      <c r="B7" s="99" t="s">
        <v>217</v>
      </c>
      <c r="C7" s="100" t="s">
        <v>218</v>
      </c>
      <c r="D7" s="99" t="s">
        <v>219</v>
      </c>
      <c r="E7" s="42">
        <v>2</v>
      </c>
      <c r="F7" s="137" t="s">
        <v>220</v>
      </c>
      <c r="G7" s="42">
        <v>1</v>
      </c>
      <c r="H7" s="137" t="s">
        <v>207</v>
      </c>
      <c r="I7" s="42">
        <v>2</v>
      </c>
      <c r="J7" s="137" t="s">
        <v>208</v>
      </c>
      <c r="K7" s="42">
        <v>2</v>
      </c>
      <c r="L7" s="137" t="s">
        <v>221</v>
      </c>
      <c r="M7" s="42">
        <v>1</v>
      </c>
      <c r="N7" s="137" t="s">
        <v>222</v>
      </c>
      <c r="O7" s="42">
        <v>2</v>
      </c>
      <c r="P7" s="137" t="s">
        <v>223</v>
      </c>
      <c r="Q7" s="42" t="s">
        <v>94</v>
      </c>
      <c r="R7" s="137"/>
      <c r="S7" s="42"/>
      <c r="T7" s="42" t="str">
        <f>IF(S7&gt;0,"Add justification","")</f>
        <v/>
      </c>
      <c r="U7" s="42"/>
      <c r="V7" s="42" t="str">
        <f>IF(U7&gt;0,"Add justification","")</f>
        <v/>
      </c>
      <c r="W7" s="42"/>
      <c r="X7" s="42" t="str">
        <f>IF(W7&gt;0,"Add justification","")</f>
        <v/>
      </c>
      <c r="Y7" s="42"/>
      <c r="Z7" s="42" t="str">
        <f>IF(Y7&gt;0,"Add justification","")</f>
        <v/>
      </c>
      <c r="AA7" s="42"/>
      <c r="AB7" s="42" t="str">
        <f>IF(AA7&gt;0,"Add justification","")</f>
        <v/>
      </c>
      <c r="AC7" s="42"/>
      <c r="AD7" s="42" t="str">
        <f>IF(AC7&gt;0,"Add justification","")</f>
        <v/>
      </c>
      <c r="AE7" s="42"/>
      <c r="AF7" s="42" t="str">
        <f>IF(AE7&gt;0,"Add justification","")</f>
        <v/>
      </c>
      <c r="AG7" s="42"/>
      <c r="AH7" s="42" t="str">
        <f>IF(AG7&gt;0,"Add justification","")</f>
        <v/>
      </c>
      <c r="AI7" s="42"/>
      <c r="AJ7" s="42" t="str">
        <f>IF(AI7&gt;0,"Add justification","")</f>
        <v/>
      </c>
      <c r="AK7" s="42"/>
      <c r="AL7" s="42" t="str">
        <f>IF(AK7&gt;0,"Add justification","")</f>
        <v/>
      </c>
      <c r="AM7" s="42"/>
      <c r="AN7" s="42" t="str">
        <f>IF(AM7&gt;0,"Add justification","")</f>
        <v/>
      </c>
      <c r="AO7" s="42"/>
      <c r="AP7" s="42" t="str">
        <f>IF(AO7&gt;0,"Add justification","")</f>
        <v/>
      </c>
      <c r="AQ7" s="42"/>
      <c r="AR7" s="42" t="str">
        <f>IF(AQ7&gt;0,"Add justification","")</f>
        <v/>
      </c>
      <c r="AS7" s="42"/>
      <c r="AT7" s="42" t="str">
        <f>IF(AS7&gt;0,"Add justification","")</f>
        <v/>
      </c>
      <c r="AU7" s="42"/>
      <c r="AV7" s="42" t="str">
        <f>IF(AU7&gt;0,"Add justification","")</f>
        <v/>
      </c>
      <c r="AW7" s="42"/>
      <c r="AX7" s="42" t="str">
        <f>IF(AW7&gt;0,"Add justification","")</f>
        <v/>
      </c>
      <c r="AY7" s="42"/>
      <c r="AZ7" s="42" t="str">
        <f>IF(AY7&gt;0,"Add justification","")</f>
        <v/>
      </c>
      <c r="BA7" s="42"/>
      <c r="BB7" s="42" t="str">
        <f>IF(BA7&gt;0,"Add justification","")</f>
        <v/>
      </c>
      <c r="BC7" s="42"/>
      <c r="BD7" s="42" t="str">
        <f>IF(BC7&gt;0,"Add justification","")</f>
        <v/>
      </c>
      <c r="BE7" s="42"/>
      <c r="BF7" s="42" t="str">
        <f>IF(BE7&gt;0,"Add justification","")</f>
        <v/>
      </c>
      <c r="BG7" s="42"/>
      <c r="BH7" s="42" t="str">
        <f>IF(BG7&gt;0,"Add justification","")</f>
        <v/>
      </c>
      <c r="BI7" s="42"/>
      <c r="BJ7" s="42" t="str">
        <f>IF(BI7&gt;0,"Add justification","")</f>
        <v/>
      </c>
      <c r="BK7" s="42"/>
    </row>
    <row r="8" spans="1:63" ht="22.5" thickTop="1" thickBot="1">
      <c r="A8" s="66"/>
      <c r="B8" s="48"/>
      <c r="C8" s="67" t="s">
        <v>146</v>
      </c>
      <c r="D8" s="68"/>
      <c r="E8" s="9">
        <f t="shared" ref="E8:BK8" si="0">IFERROR(IF(COUNTBLANK(E5:E7)&gt;0,"",SUM(E5:E7)/COUNTIF(E5:E7,"&gt;=0")),"")</f>
        <v>1.3333333333333333</v>
      </c>
      <c r="F8" s="9"/>
      <c r="G8" s="9">
        <f t="shared" si="0"/>
        <v>1</v>
      </c>
      <c r="H8" s="9"/>
      <c r="I8" s="9">
        <f t="shared" si="0"/>
        <v>1.6666666666666667</v>
      </c>
      <c r="J8" s="9"/>
      <c r="K8" s="9">
        <f t="shared" si="0"/>
        <v>1.6666666666666667</v>
      </c>
      <c r="L8" s="9"/>
      <c r="M8" s="9">
        <f t="shared" si="0"/>
        <v>1</v>
      </c>
      <c r="N8" s="9"/>
      <c r="O8" s="9">
        <f>IFERROR(IF(COUNTBLANK(O5:O7)&gt;0,"",SUM(O5:O7)/COUNTIF(O5:O7,"&gt;=0")),"")</f>
        <v>1.6666666666666667</v>
      </c>
      <c r="P8" s="9"/>
      <c r="Q8" s="9" t="str">
        <f t="shared" si="0"/>
        <v/>
      </c>
      <c r="R8" s="9"/>
      <c r="S8" s="9" t="str">
        <f t="shared" si="0"/>
        <v/>
      </c>
      <c r="T8" s="9"/>
      <c r="U8" s="9" t="str">
        <f t="shared" si="0"/>
        <v/>
      </c>
      <c r="V8" s="9"/>
      <c r="W8" s="9" t="str">
        <f t="shared" si="0"/>
        <v/>
      </c>
      <c r="X8" s="9"/>
      <c r="Y8" s="9" t="str">
        <f t="shared" si="0"/>
        <v/>
      </c>
      <c r="Z8" s="9"/>
      <c r="AA8" s="9" t="str">
        <f t="shared" si="0"/>
        <v/>
      </c>
      <c r="AB8" s="9"/>
      <c r="AC8" s="9" t="str">
        <f t="shared" si="0"/>
        <v/>
      </c>
      <c r="AD8" s="9"/>
      <c r="AE8" s="9" t="str">
        <f t="shared" si="0"/>
        <v/>
      </c>
      <c r="AF8" s="9"/>
      <c r="AG8" s="9" t="str">
        <f t="shared" si="0"/>
        <v/>
      </c>
      <c r="AH8" s="9"/>
      <c r="AI8" s="9" t="str">
        <f t="shared" si="0"/>
        <v/>
      </c>
      <c r="AJ8" s="9"/>
      <c r="AK8" s="9" t="str">
        <f t="shared" si="0"/>
        <v/>
      </c>
      <c r="AL8" s="9"/>
      <c r="AM8" s="9" t="str">
        <f t="shared" si="0"/>
        <v/>
      </c>
      <c r="AN8" s="9"/>
      <c r="AO8" s="9" t="str">
        <f t="shared" si="0"/>
        <v/>
      </c>
      <c r="AP8" s="9"/>
      <c r="AQ8" s="9" t="str">
        <f t="shared" si="0"/>
        <v/>
      </c>
      <c r="AR8" s="9"/>
      <c r="AS8" s="9" t="str">
        <f t="shared" si="0"/>
        <v/>
      </c>
      <c r="AT8" s="9"/>
      <c r="AU8" s="9" t="str">
        <f t="shared" si="0"/>
        <v/>
      </c>
      <c r="AV8" s="9"/>
      <c r="AW8" s="9" t="str">
        <f t="shared" si="0"/>
        <v/>
      </c>
      <c r="AX8" s="9"/>
      <c r="AY8" s="9" t="str">
        <f t="shared" si="0"/>
        <v/>
      </c>
      <c r="AZ8" s="9"/>
      <c r="BA8" s="9" t="str">
        <f t="shared" si="0"/>
        <v/>
      </c>
      <c r="BB8" s="9"/>
      <c r="BC8" s="9" t="str">
        <f t="shared" si="0"/>
        <v/>
      </c>
      <c r="BD8" s="9"/>
      <c r="BE8" s="9" t="str">
        <f t="shared" si="0"/>
        <v/>
      </c>
      <c r="BF8" s="9"/>
      <c r="BG8" s="9" t="str">
        <f t="shared" si="0"/>
        <v/>
      </c>
      <c r="BH8" s="9"/>
      <c r="BI8" s="9" t="str">
        <f t="shared" si="0"/>
        <v/>
      </c>
      <c r="BJ8" s="9"/>
      <c r="BK8" s="9" t="str">
        <f t="shared" si="0"/>
        <v/>
      </c>
    </row>
    <row r="9" spans="1:63" ht="22.5" thickTop="1" thickBot="1">
      <c r="A9" s="66"/>
      <c r="B9" s="48"/>
      <c r="C9" s="46" t="s">
        <v>147</v>
      </c>
      <c r="D9" s="47"/>
      <c r="E9" s="5" t="str">
        <f>IF(E8="","",IF(E8&lt;1.4,"Low",(IF(AND(E8&gt;=1.4,E8&lt;2.4),"Medium",(IF((AND(E8&gt;=2.4)),"High"))))))</f>
        <v>Low</v>
      </c>
      <c r="F9" s="5"/>
      <c r="G9" s="5" t="str">
        <f>IF(G8="","",IF(G8&lt;1.4,"Low",(IF(AND(G8&gt;=1.4,G8&lt;2.4),"Medium",(IF((AND(G8&gt;=2.4)),"High"))))))</f>
        <v>Low</v>
      </c>
      <c r="H9" s="5"/>
      <c r="I9" s="5" t="str">
        <f t="shared" ref="I9:BK9" si="1">IF(I8="","",IF(I8&lt;1.4,"Low",(IF(AND(I8&gt;=1.4,I8&lt;2.4),"Medium",(IF((AND(I8&gt;=2.4)),"High"))))))</f>
        <v>Medium</v>
      </c>
      <c r="J9" s="5"/>
      <c r="K9" s="5" t="str">
        <f t="shared" si="1"/>
        <v>Medium</v>
      </c>
      <c r="L9" s="5"/>
      <c r="M9" s="5" t="str">
        <f t="shared" si="1"/>
        <v>Low</v>
      </c>
      <c r="N9" s="5"/>
      <c r="O9" s="5" t="str">
        <f>IF(O8="","",IF(O8&lt;1.4,"Low",(IF(AND(O8&gt;=1.4,O8&lt;2.4),"Medium",(IF((AND(O8&gt;=2.4)),"High"))))))</f>
        <v>Medium</v>
      </c>
      <c r="P9" s="5"/>
      <c r="Q9" s="5" t="str">
        <f>IF(Q8="","",IF(Q8&lt;1.4,"Low",(IF(AND(Q8&gt;=1.4,Q8&lt;2.4),"Medium",(IF((AND(Q8&gt;=2.4)),"High"))))))</f>
        <v/>
      </c>
      <c r="R9" s="5"/>
      <c r="S9" s="5" t="str">
        <f t="shared" si="1"/>
        <v/>
      </c>
      <c r="T9" s="5"/>
      <c r="U9" s="5" t="str">
        <f t="shared" si="1"/>
        <v/>
      </c>
      <c r="V9" s="5"/>
      <c r="W9" s="5" t="str">
        <f t="shared" si="1"/>
        <v/>
      </c>
      <c r="X9" s="5"/>
      <c r="Y9" s="5" t="str">
        <f t="shared" si="1"/>
        <v/>
      </c>
      <c r="Z9" s="5"/>
      <c r="AA9" s="5" t="str">
        <f t="shared" si="1"/>
        <v/>
      </c>
      <c r="AB9" s="5"/>
      <c r="AC9" s="5" t="str">
        <f t="shared" si="1"/>
        <v/>
      </c>
      <c r="AD9" s="5"/>
      <c r="AE9" s="5" t="str">
        <f t="shared" si="1"/>
        <v/>
      </c>
      <c r="AF9" s="5"/>
      <c r="AG9" s="5" t="str">
        <f t="shared" si="1"/>
        <v/>
      </c>
      <c r="AH9" s="5"/>
      <c r="AI9" s="5" t="str">
        <f t="shared" si="1"/>
        <v/>
      </c>
      <c r="AJ9" s="5"/>
      <c r="AK9" s="5" t="str">
        <f t="shared" si="1"/>
        <v/>
      </c>
      <c r="AL9" s="5"/>
      <c r="AM9" s="5" t="str">
        <f t="shared" si="1"/>
        <v/>
      </c>
      <c r="AN9" s="5"/>
      <c r="AO9" s="5" t="str">
        <f t="shared" si="1"/>
        <v/>
      </c>
      <c r="AP9" s="5"/>
      <c r="AQ9" s="5" t="str">
        <f t="shared" si="1"/>
        <v/>
      </c>
      <c r="AR9" s="5"/>
      <c r="AS9" s="5" t="str">
        <f t="shared" si="1"/>
        <v/>
      </c>
      <c r="AT9" s="5"/>
      <c r="AU9" s="5" t="str">
        <f t="shared" si="1"/>
        <v/>
      </c>
      <c r="AV9" s="5"/>
      <c r="AW9" s="5" t="str">
        <f t="shared" si="1"/>
        <v/>
      </c>
      <c r="AX9" s="5"/>
      <c r="AY9" s="5" t="str">
        <f t="shared" si="1"/>
        <v/>
      </c>
      <c r="AZ9" s="5"/>
      <c r="BA9" s="5" t="str">
        <f t="shared" si="1"/>
        <v/>
      </c>
      <c r="BB9" s="5"/>
      <c r="BC9" s="5" t="str">
        <f t="shared" si="1"/>
        <v/>
      </c>
      <c r="BD9" s="5"/>
      <c r="BE9" s="5" t="str">
        <f t="shared" si="1"/>
        <v/>
      </c>
      <c r="BF9" s="5"/>
      <c r="BG9" s="5" t="str">
        <f t="shared" si="1"/>
        <v/>
      </c>
      <c r="BH9" s="5"/>
      <c r="BI9" s="5" t="str">
        <f t="shared" si="1"/>
        <v/>
      </c>
      <c r="BJ9" s="5"/>
      <c r="BK9" s="5" t="str">
        <f t="shared" si="1"/>
        <v/>
      </c>
    </row>
    <row r="10" spans="1:63" ht="21.75" thickBot="1">
      <c r="A10" s="66"/>
      <c r="B10" s="48"/>
      <c r="C10" s="48"/>
      <c r="D10" s="48"/>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row>
    <row r="11" spans="1:63" ht="24.75" thickTop="1" thickBot="1">
      <c r="A11" s="55"/>
      <c r="B11" s="55"/>
      <c r="C11" s="155" t="s">
        <v>148</v>
      </c>
      <c r="D11" s="156"/>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row>
    <row r="12" spans="1:63" ht="91.5" thickTop="1" thickBot="1">
      <c r="A12" s="55"/>
      <c r="B12" s="55"/>
      <c r="D12" s="97" t="s">
        <v>149</v>
      </c>
      <c r="E12" s="96" t="str">
        <f>IF(E11&gt;0,"Add justification","")</f>
        <v/>
      </c>
      <c r="F12" s="96"/>
      <c r="G12" s="96" t="str">
        <f t="shared" ref="G12:BK12" si="2">IF(G11&gt;0,"Add justification","")</f>
        <v/>
      </c>
      <c r="H12" s="96"/>
      <c r="I12" s="96" t="str">
        <f>IF(I11&gt;0,"Add justification","")</f>
        <v/>
      </c>
      <c r="J12" s="96"/>
      <c r="K12" s="96"/>
      <c r="L12" s="96"/>
      <c r="M12" s="96"/>
      <c r="N12" s="96"/>
      <c r="O12" s="96" t="s">
        <v>170</v>
      </c>
      <c r="P12" s="96"/>
      <c r="Q12" s="96"/>
      <c r="R12" s="96"/>
      <c r="S12" s="96" t="str">
        <f t="shared" si="2"/>
        <v/>
      </c>
      <c r="T12" s="96"/>
      <c r="U12" s="96" t="str">
        <f t="shared" si="2"/>
        <v/>
      </c>
      <c r="V12" s="96"/>
      <c r="W12" s="96" t="str">
        <f t="shared" si="2"/>
        <v/>
      </c>
      <c r="X12" s="96"/>
      <c r="Y12" s="96" t="str">
        <f t="shared" si="2"/>
        <v/>
      </c>
      <c r="Z12" s="96"/>
      <c r="AA12" s="96" t="str">
        <f t="shared" si="2"/>
        <v/>
      </c>
      <c r="AB12" s="96"/>
      <c r="AC12" s="96" t="str">
        <f t="shared" si="2"/>
        <v/>
      </c>
      <c r="AD12" s="96"/>
      <c r="AE12" s="96" t="str">
        <f t="shared" si="2"/>
        <v/>
      </c>
      <c r="AF12" s="96"/>
      <c r="AG12" s="96" t="str">
        <f t="shared" si="2"/>
        <v/>
      </c>
      <c r="AH12" s="96"/>
      <c r="AI12" s="96" t="str">
        <f t="shared" si="2"/>
        <v/>
      </c>
      <c r="AJ12" s="96"/>
      <c r="AK12" s="96" t="str">
        <f t="shared" si="2"/>
        <v/>
      </c>
      <c r="AL12" s="96"/>
      <c r="AM12" s="96" t="str">
        <f t="shared" si="2"/>
        <v/>
      </c>
      <c r="AN12" s="96"/>
      <c r="AO12" s="96" t="str">
        <f t="shared" si="2"/>
        <v/>
      </c>
      <c r="AP12" s="96"/>
      <c r="AQ12" s="96" t="str">
        <f t="shared" si="2"/>
        <v/>
      </c>
      <c r="AR12" s="96"/>
      <c r="AS12" s="96" t="str">
        <f t="shared" si="2"/>
        <v/>
      </c>
      <c r="AT12" s="96"/>
      <c r="AU12" s="96" t="str">
        <f t="shared" si="2"/>
        <v/>
      </c>
      <c r="AV12" s="96"/>
      <c r="AW12" s="96" t="str">
        <f t="shared" si="2"/>
        <v/>
      </c>
      <c r="AX12" s="96"/>
      <c r="AY12" s="96" t="str">
        <f t="shared" si="2"/>
        <v/>
      </c>
      <c r="AZ12" s="96"/>
      <c r="BA12" s="96" t="str">
        <f t="shared" si="2"/>
        <v/>
      </c>
      <c r="BB12" s="96"/>
      <c r="BC12" s="96" t="str">
        <f t="shared" si="2"/>
        <v/>
      </c>
      <c r="BD12" s="96"/>
      <c r="BE12" s="96" t="str">
        <f t="shared" si="2"/>
        <v/>
      </c>
      <c r="BF12" s="96"/>
      <c r="BG12" s="96" t="str">
        <f t="shared" si="2"/>
        <v/>
      </c>
      <c r="BH12" s="96"/>
      <c r="BI12" s="96" t="str">
        <f t="shared" si="2"/>
        <v/>
      </c>
      <c r="BJ12" s="96"/>
      <c r="BK12" s="96" t="str">
        <f t="shared" si="2"/>
        <v/>
      </c>
    </row>
    <row r="13" spans="1:63" ht="24.75" thickTop="1" thickBot="1">
      <c r="A13" s="55"/>
      <c r="B13" s="55"/>
      <c r="C13" s="153" t="s">
        <v>151</v>
      </c>
      <c r="D13" s="154"/>
      <c r="E13" s="5" t="s">
        <v>5</v>
      </c>
      <c r="F13" s="5"/>
      <c r="G13" s="5" t="s">
        <v>7</v>
      </c>
      <c r="H13" s="5"/>
      <c r="I13" s="5" t="s">
        <v>5</v>
      </c>
      <c r="J13" s="5"/>
      <c r="K13" s="5" t="s">
        <v>5</v>
      </c>
      <c r="L13" s="5"/>
      <c r="M13" s="5" t="s">
        <v>7</v>
      </c>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163.5" thickTop="1" thickBot="1">
      <c r="A14" s="55"/>
      <c r="B14" s="55"/>
      <c r="D14" s="97" t="s">
        <v>152</v>
      </c>
      <c r="E14" s="96" t="s">
        <v>224</v>
      </c>
      <c r="F14" s="96"/>
      <c r="G14" s="96" t="s">
        <v>225</v>
      </c>
      <c r="H14" s="96"/>
      <c r="I14" s="96" t="s">
        <v>153</v>
      </c>
      <c r="J14" s="96"/>
      <c r="K14" s="96" t="s">
        <v>153</v>
      </c>
      <c r="L14" s="96"/>
      <c r="M14" s="96" t="s">
        <v>226</v>
      </c>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c r="BD14" s="96"/>
      <c r="BE14" s="96"/>
      <c r="BF14" s="96"/>
      <c r="BG14" s="96"/>
      <c r="BH14" s="96"/>
      <c r="BI14" s="96"/>
      <c r="BJ14" s="96"/>
      <c r="BK14" s="96"/>
    </row>
  </sheetData>
  <sheetProtection formatCells="0" formatColumns="0" formatRows="0" insertColumns="0" insertRows="0" insertHyperlinks="0" deleteColumns="0" deleteRows="0" sort="0"/>
  <protectedRanges>
    <protectedRange algorithmName="SHA-512" hashValue="TR5oMIz8+Sm8e/PdmAnLzFOabawUkLHFiNdol1J79s4/y6+LDyUYrVwQy+K9nLInDV87+YxALU8chBBUFv07Eg==" saltValue="lU+9RAH7AP75CvDx2efwlw==" spinCount="100000" sqref="E12:L12 N12 Q12:BK12" name="Range1"/>
  </protectedRanges>
  <mergeCells count="3">
    <mergeCell ref="A4:B4"/>
    <mergeCell ref="C11:D11"/>
    <mergeCell ref="C13:D13"/>
  </mergeCells>
  <conditionalFormatting sqref="E5:BK7">
    <cfRule type="cellIs" dxfId="2" priority="1" operator="equal">
      <formula>1</formula>
    </cfRule>
    <cfRule type="cellIs" dxfId="1" priority="2" operator="equal">
      <formula>2</formula>
    </cfRule>
    <cfRule type="cellIs" dxfId="0" priority="3" operator="equal">
      <formula>3</formula>
    </cfRule>
  </conditionalFormatting>
  <pageMargins left="0.7" right="0.7" top="0.78740157499999996" bottom="0.78740157499999996" header="0.3" footer="0.3"/>
  <pageSetup paperSize="9" orientation="portrait" verticalDpi="1200" r:id="rId1"/>
  <headerFooter>
    <oddFooter>&amp;C&amp;1#&amp;"Calibri"&amp;10&amp;K000000Confidential</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F315A-E761-462E-B94E-1D2B99AA9382}">
  <sheetPr codeName="Sheet7"/>
  <dimension ref="A1:J5"/>
  <sheetViews>
    <sheetView showGridLines="0" workbookViewId="0">
      <selection activeCell="J4" sqref="J4"/>
    </sheetView>
  </sheetViews>
  <sheetFormatPr defaultColWidth="11.42578125" defaultRowHeight="15"/>
  <cols>
    <col min="7" max="7" width="17.5703125" customWidth="1"/>
    <col min="8" max="8" width="12.28515625" customWidth="1"/>
  </cols>
  <sheetData>
    <row r="1" spans="1:10">
      <c r="G1" t="s">
        <v>227</v>
      </c>
      <c r="H1" t="s">
        <v>61</v>
      </c>
    </row>
    <row r="2" spans="1:10">
      <c r="A2" t="s">
        <v>3</v>
      </c>
      <c r="B2">
        <v>3</v>
      </c>
      <c r="C2" s="15" t="s">
        <v>82</v>
      </c>
      <c r="D2" t="s">
        <v>123</v>
      </c>
      <c r="E2" t="s">
        <v>228</v>
      </c>
      <c r="G2">
        <v>3</v>
      </c>
      <c r="H2" t="s">
        <v>101</v>
      </c>
      <c r="J2" t="s">
        <v>91</v>
      </c>
    </row>
    <row r="3" spans="1:10">
      <c r="A3" t="s">
        <v>5</v>
      </c>
      <c r="B3">
        <v>2</v>
      </c>
      <c r="D3" t="s">
        <v>229</v>
      </c>
      <c r="E3" t="s">
        <v>80</v>
      </c>
      <c r="G3">
        <v>2</v>
      </c>
      <c r="H3" t="s">
        <v>85</v>
      </c>
      <c r="J3" t="s">
        <v>92</v>
      </c>
    </row>
    <row r="4" spans="1:10">
      <c r="A4" t="s">
        <v>7</v>
      </c>
      <c r="B4">
        <v>1</v>
      </c>
      <c r="D4" t="s">
        <v>230</v>
      </c>
      <c r="E4" t="s">
        <v>231</v>
      </c>
      <c r="G4">
        <v>1</v>
      </c>
      <c r="H4" t="s">
        <v>232</v>
      </c>
    </row>
    <row r="5" spans="1:10">
      <c r="A5" t="s">
        <v>9</v>
      </c>
      <c r="B5" t="s">
        <v>9</v>
      </c>
      <c r="E5" t="s">
        <v>233</v>
      </c>
      <c r="G5" t="s">
        <v>9</v>
      </c>
    </row>
  </sheetData>
  <pageMargins left="0.7" right="0.7" top="0.78740157499999996" bottom="0.78740157499999996" header="0.3" footer="0.3"/>
  <pageSetup paperSize="9" orientation="portrait" verticalDpi="599" r:id="rId1"/>
  <headerFooter>
    <oddFooter>&amp;C&amp;1#&amp;"Calibri"&amp;10&amp;K000000Confidential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I1ZTIxNjY1Mi03Y2IxLTQyZDMtYTIyZi1mYjVjN2YzNDhkYjUiIG9yaWdpbj0idXNlclNlbGVjdGVkIj48ZWxlbWVudCB1aWQ9ImlkX2NsYXNzaWZpY2F0aW9uX2ludGVybmFsb25seSIgdmFsdWU9IiIgeG1sbnM9Imh0dHA6Ly93d3cuYm9sZG9uamFtZXMuY29tLzIwMDgvMDEvc2llL2ludGVybmFsL2xhYmVsIiAvPjwvc2lzbD48VXNlck5hbWU+T0FBRFxqcjc2MTwvVXNlck5hbWU+PERhdGVUaW1lPjI4LzA4LzIwMTcgMTI6Mzk6MzI8L0RhdGVUaW1lPjxMYWJlbFN0cmluZz5JbnRlcm5hbDwvTGFiZWxTdHJpbmc+PC9pdGVtPjwvbGFiZWxIaXN0b3J5Pg==</Value>
</WrappedLabelHistory>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e2b6c362-1991-4b12-baaf-e49dbdb018b6" xsi:nil="true"/>
    <lcf76f155ced4ddcb4097134ff3c332f xmlns="d53c5ebb-1d16-434c-9199-c085003d0e7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E4CD2C9128AD54A8D10FFD7A0122DCD" ma:contentTypeVersion="14" ma:contentTypeDescription="Create a new document." ma:contentTypeScope="" ma:versionID="5eade7bfda6c66bd56df05e112be8062">
  <xsd:schema xmlns:xsd="http://www.w3.org/2001/XMLSchema" xmlns:xs="http://www.w3.org/2001/XMLSchema" xmlns:p="http://schemas.microsoft.com/office/2006/metadata/properties" xmlns:ns1="http://schemas.microsoft.com/sharepoint/v3" xmlns:ns2="d53c5ebb-1d16-434c-9199-c085003d0e78" xmlns:ns3="e2b6c362-1991-4b12-baaf-e49dbdb018b6" targetNamespace="http://schemas.microsoft.com/office/2006/metadata/properties" ma:root="true" ma:fieldsID="a62b652f761e01f58b982a11287f92d4" ns1:_="" ns2:_="" ns3:_="">
    <xsd:import namespace="http://schemas.microsoft.com/sharepoint/v3"/>
    <xsd:import namespace="d53c5ebb-1d16-434c-9199-c085003d0e78"/>
    <xsd:import namespace="e2b6c362-1991-4b12-baaf-e49dbdb018b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3c5ebb-1d16-434c-9199-c085003d0e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17e55e0-b0a9-432c-94a7-1995524fa84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2b6c362-1991-4b12-baaf-e49dbdb018b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efa5c65-7dbb-420a-8c0e-748276ea6e87}" ma:internalName="TaxCatchAll" ma:showField="CatchAllData" ma:web="e2b6c362-1991-4b12-baaf-e49dbdb018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sisl xmlns:xsi="http://www.w3.org/2001/XMLSchema-instance" xmlns:xsd="http://www.w3.org/2001/XMLSchema" xmlns="http://www.boldonjames.com/2008/01/sie/internal/label" sislVersion="0" policy="5e216652-7cb1-42d3-a22f-fb5c7f348db5" origin="userSelected">
  <element uid="id_classification_internalonly" value=""/>
</sisl>
</file>

<file path=customXml/itemProps1.xml><?xml version="1.0" encoding="utf-8"?>
<ds:datastoreItem xmlns:ds="http://schemas.openxmlformats.org/officeDocument/2006/customXml" ds:itemID="{1ECD5743-3F56-4A14-A518-B6720CC1AECF}"/>
</file>

<file path=customXml/itemProps2.xml><?xml version="1.0" encoding="utf-8"?>
<ds:datastoreItem xmlns:ds="http://schemas.openxmlformats.org/officeDocument/2006/customXml" ds:itemID="{6396760E-7679-4EDE-949E-E15EF620B9D0}"/>
</file>

<file path=customXml/itemProps3.xml><?xml version="1.0" encoding="utf-8"?>
<ds:datastoreItem xmlns:ds="http://schemas.openxmlformats.org/officeDocument/2006/customXml" ds:itemID="{1C8395A0-8CD4-40A8-A961-B8FAE365634A}"/>
</file>

<file path=customXml/itemProps4.xml><?xml version="1.0" encoding="utf-8"?>
<ds:datastoreItem xmlns:ds="http://schemas.openxmlformats.org/officeDocument/2006/customXml" ds:itemID="{9776F4C4-A50F-4AD3-8089-6FF7F41513B8}"/>
</file>

<file path=customXml/itemProps5.xml><?xml version="1.0" encoding="utf-8"?>
<ds:datastoreItem xmlns:ds="http://schemas.openxmlformats.org/officeDocument/2006/customXml" ds:itemID="{84E39B20-1E9F-49BA-9030-8F116D0D38AF}"/>
</file>

<file path=docProps/app.xml><?xml version="1.0" encoding="utf-8"?>
<Properties xmlns="http://schemas.openxmlformats.org/officeDocument/2006/extended-properties" xmlns:vt="http://schemas.openxmlformats.org/officeDocument/2006/docPropsVTypes">
  <Application>Microsoft Excel Online</Application>
  <Manager/>
  <Company>Deutsche Börse Group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 Glos</dc:creator>
  <cp:keywords/>
  <dc:description/>
  <cp:lastModifiedBy>Valerie Aubert</cp:lastModifiedBy>
  <cp:revision/>
  <dcterms:created xsi:type="dcterms:W3CDTF">2016-09-08T09:12:15Z</dcterms:created>
  <dcterms:modified xsi:type="dcterms:W3CDTF">2025-11-12T19:01:11Z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b338a899-3c2a-4750-b4f4-02d58e274cb9</vt:lpwstr>
  </property>
  <property fmtid="{D5CDD505-2E9C-101B-9397-08002B2CF9AE}" pid="3" name="bjSaver">
    <vt:lpwstr>c4p+8QbbFcFuiIOUOYTEL4qpvGBSSUhg</vt:lpwstr>
  </property>
  <property fmtid="{D5CDD505-2E9C-101B-9397-08002B2CF9AE}" pid="4" name="bjDocumentLabelXML">
    <vt:lpwstr>&lt;?xml version="1.0" encoding="us-ascii"?&gt;&lt;sisl xmlns:xsi="http://www.w3.org/2001/XMLSchema-instance" xmlns:xsd="http://www.w3.org/2001/XMLSchema" sislVersion="0" policy="5e216652-7cb1-42d3-a22f-fb5c7f348db5" origin="userSelected" xmlns="http://www.boldonj</vt:lpwstr>
  </property>
  <property fmtid="{D5CDD505-2E9C-101B-9397-08002B2CF9AE}" pid="5" name="bjDocumentLabelXML-0">
    <vt:lpwstr>ames.com/2008/01/sie/internal/label"&gt;&lt;element uid="id_classification_internalonly" value="" /&gt;&lt;/sisl&gt;</vt:lpwstr>
  </property>
  <property fmtid="{D5CDD505-2E9C-101B-9397-08002B2CF9AE}" pid="6" name="bjDocumentSecurityLabel">
    <vt:lpwstr>Internal</vt:lpwstr>
  </property>
  <property fmtid="{D5CDD505-2E9C-101B-9397-08002B2CF9AE}" pid="7" name="DBG_Classification_ID">
    <vt:lpwstr>2</vt:lpwstr>
  </property>
  <property fmtid="{D5CDD505-2E9C-101B-9397-08002B2CF9AE}" pid="8" name="DBG_Classification_Name">
    <vt:lpwstr>Internal</vt:lpwstr>
  </property>
  <property fmtid="{D5CDD505-2E9C-101B-9397-08002B2CF9AE}" pid="9" name="bjLabelHistoryID">
    <vt:lpwstr>{1ECD5743-3F56-4A14-A518-B6720CC1AECF}</vt:lpwstr>
  </property>
  <property fmtid="{D5CDD505-2E9C-101B-9397-08002B2CF9AE}" pid="10" name="ContentTypeId">
    <vt:lpwstr>0x0101007E4CD2C9128AD54A8D10FFD7A0122DCD</vt:lpwstr>
  </property>
  <property fmtid="{D5CDD505-2E9C-101B-9397-08002B2CF9AE}" pid="11" name="MSIP_Label_389b831b-d6bc-4bd7-99a3-1b01c0f97c6d_Enabled">
    <vt:lpwstr>true</vt:lpwstr>
  </property>
  <property fmtid="{D5CDD505-2E9C-101B-9397-08002B2CF9AE}" pid="12" name="MSIP_Label_389b831b-d6bc-4bd7-99a3-1b01c0f97c6d_SetDate">
    <vt:lpwstr>2023-08-03T12:23:13Z</vt:lpwstr>
  </property>
  <property fmtid="{D5CDD505-2E9C-101B-9397-08002B2CF9AE}" pid="13" name="MSIP_Label_389b831b-d6bc-4bd7-99a3-1b01c0f97c6d_Method">
    <vt:lpwstr>Privileged</vt:lpwstr>
  </property>
  <property fmtid="{D5CDD505-2E9C-101B-9397-08002B2CF9AE}" pid="14" name="MSIP_Label_389b831b-d6bc-4bd7-99a3-1b01c0f97c6d_Name">
    <vt:lpwstr>389b831b-d6bc-4bd7-99a3-1b01c0f97c6d</vt:lpwstr>
  </property>
  <property fmtid="{D5CDD505-2E9C-101B-9397-08002B2CF9AE}" pid="15" name="MSIP_Label_389b831b-d6bc-4bd7-99a3-1b01c0f97c6d_SiteId">
    <vt:lpwstr>e00ddcdf-1e0f-4be5-a37a-894a4731986a</vt:lpwstr>
  </property>
  <property fmtid="{D5CDD505-2E9C-101B-9397-08002B2CF9AE}" pid="16" name="MSIP_Label_389b831b-d6bc-4bd7-99a3-1b01c0f97c6d_ActionId">
    <vt:lpwstr>0f8d9c8c-c251-4781-a1f8-77d1125c11b8</vt:lpwstr>
  </property>
  <property fmtid="{D5CDD505-2E9C-101B-9397-08002B2CF9AE}" pid="17" name="MSIP_Label_389b831b-d6bc-4bd7-99a3-1b01c0f97c6d_ContentBits">
    <vt:lpwstr>2</vt:lpwstr>
  </property>
  <property fmtid="{D5CDD505-2E9C-101B-9397-08002B2CF9AE}" pid="18" name="ComplianceAssetId">
    <vt:lpwstr/>
  </property>
  <property fmtid="{D5CDD505-2E9C-101B-9397-08002B2CF9AE}" pid="19" name="_ExtendedDescription">
    <vt:lpwstr/>
  </property>
  <property fmtid="{D5CDD505-2E9C-101B-9397-08002B2CF9AE}" pid="20" name="TriggerFlowInfo">
    <vt:lpwstr/>
  </property>
  <property fmtid="{D5CDD505-2E9C-101B-9397-08002B2CF9AE}" pid="21" name="MediaServiceImageTags">
    <vt:lpwstr/>
  </property>
</Properties>
</file>